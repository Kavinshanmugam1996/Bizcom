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SystemFlow" sheetId="2" state="visible" r:id="rId4"/>
    <sheet name="TwoQuestionnaires" sheetId="3" state="visible" r:id="rId5"/>
    <sheet name="QG_UC_Matrix" sheetId="4" state="visible" r:id="rId6"/>
    <sheet name="PullCounts" sheetId="5" state="visible" r:id="rId7"/>
    <sheet name="Scenarios" sheetId="6" state="visible" r:id="rId8"/>
    <sheet name="BlockC_Allocation" sheetId="7" state="visible" r:id="rId9"/>
    <sheet name="ReportingCredits" sheetId="8" state="visible" r:id="rId10"/>
    <sheet name="Overlays" sheetId="9" state="visible" r:id="rId11"/>
    <sheet name="UseCase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<sst xmlns="http://schemas.openxmlformats.org/spreadsheetml/2006/main" count="2102" uniqueCount="461">
  <si>
    <t xml:space="preserve">AIRES Question Mapper - workbook overview</t>
  </si>
  <si>
    <t xml:space="preserve">Purpose</t>
  </si>
  <si>
    <t xml:space="preserve">This workbook is the configuration file for the AIRES Lite question selection engine. Two-system architecture: System 1 collects org-level data once (industry, jurisdiction, ISO) and pre-loads ~170 shared questions. System 2 collects use cases from each respondent independently and generates a per-respondent Block C of ~40 questions. Each respondent answers their own 210-question questionnaire.</t>
  </si>
  <si>
    <t xml:space="preserve">Key facts</t>
  </si>
  <si>
    <t xml:space="preserve">-</t>
  </si>
  <si>
    <t xml:space="preserve">51 question groups - 27 use cases - ~744 questions in current bank</t>
  </si>
  <si>
    <t xml:space="preserve">Two-system flow: System 1 (170 Qs from org form) + System 2 (50 Block C Qs per respondent) = 220 per respondent</t>
  </si>
  <si>
    <t xml:space="preserve">Three operational blocks: A=mandatory take-all (13 QGs), B=mandatory take-subset (20 QGs), C=random pull (18 QGs)</t>
  </si>
  <si>
    <t xml:space="preserve">Each respondent gets THEIR OWN 220-question questionnaire - 170 shared, 50 unique (Block C)</t>
  </si>
  <si>
    <t xml:space="preserve">Block A, B, jurisdiction, industry, ISO drawn once at T0 and identical for both respondents</t>
  </si>
  <si>
    <t xml:space="preserve">Tabs in this workbook</t>
  </si>
  <si>
    <t xml:space="preserve">Overview</t>
  </si>
  <si>
    <t xml:space="preserve">This sheet - orientation and key facts</t>
  </si>
  <si>
    <t xml:space="preserve">SystemFlow</t>
  </si>
  <si>
    <t xml:space="preserve">Two-system timeline (T0-&gt;T3) and timing dependencies</t>
  </si>
  <si>
    <t xml:space="preserve">TwoQuestionnaires</t>
  </si>
  <si>
    <t xml:space="preserve">What's shared vs unique between Person 1 and Person 2's questionnaires</t>
  </si>
  <si>
    <t xml:space="preserve">QG_UC_Matrix</t>
  </si>
  <si>
    <t xml:space="preserve">The 27x51 mapping showing which blocks apply to which use cases</t>
  </si>
  <si>
    <t xml:space="preserve">PullCounts</t>
  </si>
  <si>
    <t xml:space="preserve">Per-QG pull counts at each Block target total</t>
  </si>
  <si>
    <t xml:space="preserve">Scenarios</t>
  </si>
  <si>
    <t xml:space="preserve">The six scenarios side-by-side (System 1 sums to 170, plus 50 from System 2 = 220)</t>
  </si>
  <si>
    <t xml:space="preserve">BlockC_Allocation</t>
  </si>
  <si>
    <t xml:space="preserve">How the 50 Block C questions split across 1-5 picked UCs</t>
  </si>
  <si>
    <t xml:space="preserve">ReportingCredits</t>
  </si>
  <si>
    <t xml:space="preserve">Per-respondent crediting rule for multi-tagged questions</t>
  </si>
  <si>
    <t xml:space="preserve">Overlays</t>
  </si>
  <si>
    <t xml:space="preserve">Jurisdiction, Industry, and ISO overlay banks (System 1)</t>
  </si>
  <si>
    <t xml:space="preserve">UseCases</t>
  </si>
  <si>
    <t xml:space="preserve">UC01-UC27 reference list</t>
  </si>
  <si>
    <t xml:space="preserve">Color legend</t>
  </si>
  <si>
    <t xml:space="preserve">Block A - mandatory take-all</t>
  </si>
  <si>
    <t xml:space="preserve">Block B - mandatory take-subset</t>
  </si>
  <si>
    <t xml:space="preserve">Block C - random pull (per-respondent)</t>
  </si>
  <si>
    <t xml:space="preserve">Overlay banks (Jurisdiction / Industry / ISO)</t>
  </si>
  <si>
    <t xml:space="preserve">System 1 / Person 1</t>
  </si>
  <si>
    <t xml:space="preserve">System 2 / Person 2</t>
  </si>
  <si>
    <t xml:space="preserve">Shared portion (identical for both)</t>
  </si>
  <si>
    <t xml:space="preserve">N/A</t>
  </si>
  <si>
    <t xml:space="preserve">Two-system flow - timing and ownership</t>
  </si>
  <si>
    <t xml:space="preserve">System 1 collects org-level data once. System 2 collects use cases from each respondent independently. Each respondent gets their own 210-question questionnaire.</t>
  </si>
  <si>
    <t xml:space="preserve">Timeline</t>
  </si>
  <si>
    <t xml:space="preserve">Stage</t>
  </si>
  <si>
    <t xml:space="preserve">System</t>
  </si>
  <si>
    <t xml:space="preserve">Actor</t>
  </si>
  <si>
    <t xml:space="preserve">Inputs collected</t>
  </si>
  <si>
    <t xml:space="preserve">Engine action</t>
  </si>
  <si>
    <t xml:space="preserve">Output</t>
  </si>
  <si>
    <t xml:space="preserve">Locked?</t>
  </si>
  <si>
    <t xml:space="preserve">T0</t>
  </si>
  <si>
    <t xml:space="preserve">System 1</t>
  </si>
  <si>
    <t xml:space="preserve">Primary user</t>
  </si>
  <si>
    <t xml:space="preserve">Industry, jurisdiction, ISO flag</t>
  </si>
  <si>
    <t xml:space="preserve">Pre-load 170 shared questions: Block A + Block B + jurisdiction + industry + ISO</t>
  </si>
  <si>
    <t xml:space="preserve">170 shared questions identified</t>
  </si>
  <si>
    <t xml:space="preserve">Yes - shared set frozen</t>
  </si>
  <si>
    <t xml:space="preserve">T0+</t>
  </si>
  <si>
    <t xml:space="preserve">Engine</t>
  </si>
  <si>
    <t xml:space="preserve">(none)</t>
  </si>
  <si>
    <t xml:space="preserve">Generate access link, send to both respondents</t>
  </si>
  <si>
    <t xml:space="preserve">Link delivered</t>
  </si>
  <si>
    <t xml:space="preserve">n/a</t>
  </si>
  <si>
    <t xml:space="preserve">T1</t>
  </si>
  <si>
    <t xml:space="preserve">System 2</t>
  </si>
  <si>
    <t xml:space="preserve">Person 1</t>
  </si>
  <si>
    <t xml:space="preserve">1-5 use cases</t>
  </si>
  <si>
    <t xml:space="preserve">Filter Block C eligibility by P1's UC selections, draw P1's Block C of 50</t>
  </si>
  <si>
    <t xml:space="preserve">P1's 50 Block C questions</t>
  </si>
  <si>
    <t xml:space="preserve">Yes after P1 submits</t>
  </si>
  <si>
    <t xml:space="preserve">T2</t>
  </si>
  <si>
    <t xml:space="preserve">Person 2</t>
  </si>
  <si>
    <t xml:space="preserve">Filter Block C eligibility by P2's UC selections, draw P2's Block C of 50 (independent of P1)</t>
  </si>
  <si>
    <t xml:space="preserve">P2's 50 Block C questions</t>
  </si>
  <si>
    <t xml:space="preserve">Yes after P2 submits</t>
  </si>
  <si>
    <t xml:space="preserve">T3</t>
  </si>
  <si>
    <t xml:space="preserve">Both questionnaires assembled</t>
  </si>
  <si>
    <t xml:space="preserve">Combine shared portion + per-respondent Block C</t>
  </si>
  <si>
    <t xml:space="preserve">Two parallel 220-Q questionnaires</t>
  </si>
  <si>
    <t xml:space="preserve">Final</t>
  </si>
  <si>
    <t xml:space="preserve">Timing dependencies</t>
  </si>
  <si>
    <t xml:space="preserve">T1 and T2 are independent</t>
  </si>
  <si>
    <t xml:space="preserve">Person 1 and Person 2 can submit in either order or simultaneously. Neither blocks the other.</t>
  </si>
  <si>
    <t xml:space="preserve">Person 1 questionnaire releases when P1 submits UCs</t>
  </si>
  <si>
    <t xml:space="preserve">Engine has everything it needs (shared portion from T0 plus P1's Block C). P1 can begin answering immediately.</t>
  </si>
  <si>
    <t xml:space="preserve">Person 2 questionnaire releases when P2 submits UCs</t>
  </si>
  <si>
    <t xml:space="preserve">Same logic, independent of whether P1 has finished or even started.</t>
  </si>
  <si>
    <t xml:space="preserve">Shared portion is frozen at T0</t>
  </si>
  <si>
    <t xml:space="preserve">Once System 1 form is submitted, Block A and Block B random draws are fixed and reused for both questionnaires. No re-randomization per respondent.</t>
  </si>
  <si>
    <t xml:space="preserve">If a respondent never submits UCs</t>
  </si>
  <si>
    <t xml:space="preserve">Their questionnaire never finalizes. Other respondent's questionnaire is unaffected.</t>
  </si>
  <si>
    <t xml:space="preserve">Two parallel questionnaires - 170 shared + 50 unique = 220 per respondent</t>
  </si>
  <si>
    <t xml:space="preserve">Each respondent gets their own 220-question questionnaire. 170 questions come from System 1 (identical for both). 50 questions come from System 2 (different Block C per person based on their UC picks).</t>
  </si>
  <si>
    <t xml:space="preserve">Composition (using Scenario 1 numbers)</t>
  </si>
  <si>
    <t xml:space="preserve">Component</t>
  </si>
  <si>
    <t xml:space="preserve">Question count</t>
  </si>
  <si>
    <t xml:space="preserve">Source</t>
  </si>
  <si>
    <t xml:space="preserve">Person 1 vs Person 2</t>
  </si>
  <si>
    <t xml:space="preserve">Block A (mandatory take-all)</t>
  </si>
  <si>
    <t xml:space="preserve">System 1 (T0)</t>
  </si>
  <si>
    <t xml:space="preserve">IDENTICAL questions</t>
  </si>
  <si>
    <t xml:space="preserve">Block B (mandatory take-subset)</t>
  </si>
  <si>
    <t xml:space="preserve">Jurisdiction overlay</t>
  </si>
  <si>
    <t xml:space="preserve">Industry overlay</t>
  </si>
  <si>
    <t xml:space="preserve">ISO 42001 overlay</t>
  </si>
  <si>
    <t xml:space="preserve">System 1 subtotal</t>
  </si>
  <si>
    <t xml:space="preserve">(System 1)</t>
  </si>
  <si>
    <t xml:space="preserve">Identical for both respondents</t>
  </si>
  <si>
    <t xml:space="preserve">Block C (random pull, UC-filtered)</t>
  </si>
  <si>
    <t xml:space="preserve">System 2 (T1 / T2)</t>
  </si>
  <si>
    <t xml:space="preserve">DIFFERENT - each person's UC picks drive their own draw</t>
  </si>
  <si>
    <t xml:space="preserve">TOTAL per respondent</t>
  </si>
  <si>
    <t xml:space="preserve">Combined</t>
  </si>
  <si>
    <t xml:space="preserve">Each respondent gets one 220-Q questionnaire</t>
  </si>
  <si>
    <t xml:space="preserve">Side-by-side example</t>
  </si>
  <si>
    <t xml:space="preserve">Person 1 picks UC03 (Customer Chatbot) and UC07 (Code Gen). Person 2 picks UC16 (Shadow AI) and UC22 (Model Training). Both questionnaires use Scenario 1 (jurisdiction yes, industry yes, UCs yes) - so each gets 220 questions, 170 identical and 50 different.</t>
  </si>
  <si>
    <t xml:space="preserve">Person 1 questionnaire</t>
  </si>
  <si>
    <t xml:space="preserve">Person 2 questionnaire</t>
  </si>
  <si>
    <t xml:space="preserve">Same or different?</t>
  </si>
  <si>
    <t xml:space="preserve">Block A (60 Qs)</t>
  </si>
  <si>
    <t xml:space="preserve">Same 60 take-all questions</t>
  </si>
  <si>
    <t xml:space="preserve">SAME</t>
  </si>
  <si>
    <t xml:space="preserve">Block B (80 Qs)</t>
  </si>
  <si>
    <t xml:space="preserve">Same 80 subset questions</t>
  </si>
  <si>
    <t xml:space="preserve">Jurisdiction (10 Qs)</t>
  </si>
  <si>
    <t xml:space="preserve">Same 10 jurisdiction questions</t>
  </si>
  <si>
    <t xml:space="preserve">Industry (10 Qs)</t>
  </si>
  <si>
    <t xml:space="preserve">Same 10 industry questions</t>
  </si>
  <si>
    <t xml:space="preserve">ISO (10 Qs)</t>
  </si>
  <si>
    <t xml:space="preserve">Same 10 ISO questions</t>
  </si>
  <si>
    <t xml:space="preserve">Block C (50 Qs)</t>
  </si>
  <si>
    <t xml:space="preserve">50 Qs filtered by UC03 and UC07</t>
  </si>
  <si>
    <t xml:space="preserve">50 Qs filtered by UC16 and UC22</t>
  </si>
  <si>
    <t xml:space="preserve">DIFFERENT</t>
  </si>
  <si>
    <t xml:space="preserve">Total</t>
  </si>
  <si>
    <t xml:space="preserve">220</t>
  </si>
  <si>
    <t xml:space="preserve">Both 220, 170 shared</t>
  </si>
  <si>
    <t xml:space="preserve">Why this design matters</t>
  </si>
  <si>
    <t xml:space="preserve">Comparable answers: Both respondents answer 170 IDENTICAL questions, so their answers can be directly compared.</t>
  </si>
  <si>
    <t xml:space="preserve">Independent UC perspective: Each person's view of which AI is in scope is captured without one influencing the other.</t>
  </si>
  <si>
    <t xml:space="preserve">Per-person UC depth: Block C questions are tailored to each person's UC picks.</t>
  </si>
  <si>
    <t xml:space="preserve">Reporting flexibility: Compare per-respondent, by union of UCs, by intersection (consensus), or by symmetric difference (disagreement on AI scope).</t>
  </si>
  <si>
    <t xml:space="preserve">Question Group × Use Case mapping matrix</t>
  </si>
  <si>
    <t xml:space="preserve">Each cell shows what the engine pulls from that QG for that UC. UC01–UC25 currently identical; UC26→UC19; UC27=N/A.</t>
  </si>
  <si>
    <t xml:space="preserve">BLOCK A · Mandatory take-all · 13 QGs</t>
  </si>
  <si>
    <t xml:space="preserve">BLOCK B · Mandatory take-subset · 20 QGs</t>
  </si>
  <si>
    <t xml:space="preserve">BLOCK C · Random pull · 18 QGs</t>
  </si>
  <si>
    <t xml:space="preserve">Use Case</t>
  </si>
  <si>
    <t xml:space="preserve">Description</t>
  </si>
  <si>
    <t xml:space="preserve">QG006</t>
  </si>
  <si>
    <t xml:space="preserve">QG009</t>
  </si>
  <si>
    <t xml:space="preserve">QG014</t>
  </si>
  <si>
    <t xml:space="preserve">QG019</t>
  </si>
  <si>
    <t xml:space="preserve">QG021</t>
  </si>
  <si>
    <t xml:space="preserve">QG025</t>
  </si>
  <si>
    <t xml:space="preserve">QG030</t>
  </si>
  <si>
    <t xml:space="preserve">QG031</t>
  </si>
  <si>
    <t xml:space="preserve">QG032</t>
  </si>
  <si>
    <t xml:space="preserve">QG046</t>
  </si>
  <si>
    <t xml:space="preserve">QG047</t>
  </si>
  <si>
    <t xml:space="preserve">QG050</t>
  </si>
  <si>
    <t xml:space="preserve">QG051</t>
  </si>
  <si>
    <t xml:space="preserve">QG003</t>
  </si>
  <si>
    <t xml:space="preserve">QG004</t>
  </si>
  <si>
    <t xml:space="preserve">QG005</t>
  </si>
  <si>
    <t xml:space="preserve">QG010</t>
  </si>
  <si>
    <t xml:space="preserve">QG011</t>
  </si>
  <si>
    <t xml:space="preserve">QG018</t>
  </si>
  <si>
    <t xml:space="preserve">QG020</t>
  </si>
  <si>
    <t xml:space="preserve">QG022</t>
  </si>
  <si>
    <t xml:space="preserve">QG023</t>
  </si>
  <si>
    <t xml:space="preserve">QG024</t>
  </si>
  <si>
    <t xml:space="preserve">QG027</t>
  </si>
  <si>
    <t xml:space="preserve">QG029</t>
  </si>
  <si>
    <t xml:space="preserve">QG040</t>
  </si>
  <si>
    <t xml:space="preserve">QG041</t>
  </si>
  <si>
    <t xml:space="preserve">QG042</t>
  </si>
  <si>
    <t xml:space="preserve">QG043</t>
  </si>
  <si>
    <t xml:space="preserve">QG044</t>
  </si>
  <si>
    <t xml:space="preserve">QG045</t>
  </si>
  <si>
    <t xml:space="preserve">QG048</t>
  </si>
  <si>
    <t xml:space="preserve">QG049</t>
  </si>
  <si>
    <t xml:space="preserve">QG001</t>
  </si>
  <si>
    <t xml:space="preserve">QG002</t>
  </si>
  <si>
    <t xml:space="preserve">QG007</t>
  </si>
  <si>
    <t xml:space="preserve">QG008</t>
  </si>
  <si>
    <t xml:space="preserve">QG012</t>
  </si>
  <si>
    <t xml:space="preserve">QG013</t>
  </si>
  <si>
    <t xml:space="preserve">QG015</t>
  </si>
  <si>
    <t xml:space="preserve">QG016</t>
  </si>
  <si>
    <t xml:space="preserve">QG017</t>
  </si>
  <si>
    <t xml:space="preserve">QG026</t>
  </si>
  <si>
    <t xml:space="preserve">QG028</t>
  </si>
  <si>
    <t xml:space="preserve">QG033</t>
  </si>
  <si>
    <t xml:space="preserve">QG034</t>
  </si>
  <si>
    <t xml:space="preserve">QG035</t>
  </si>
  <si>
    <t xml:space="preserve">QG036</t>
  </si>
  <si>
    <t xml:space="preserve">QG037</t>
  </si>
  <si>
    <t xml:space="preserve">QG038</t>
  </si>
  <si>
    <t xml:space="preserve">QG039</t>
  </si>
  <si>
    <t xml:space="preserve">UC01</t>
  </si>
  <si>
    <t xml:space="preserve">AI Copilot Browser</t>
  </si>
  <si>
    <t xml:space="preserve">ALL</t>
  </si>
  <si>
    <t xml:space="preserve">SUB</t>
  </si>
  <si>
    <t xml:space="preserve">RND</t>
  </si>
  <si>
    <t xml:space="preserve">UC02</t>
  </si>
  <si>
    <t xml:space="preserve">Internal Chatbot</t>
  </si>
  <si>
    <t xml:space="preserve">UC03</t>
  </si>
  <si>
    <t xml:space="preserve">Customer Chatbot</t>
  </si>
  <si>
    <t xml:space="preserve">UC04</t>
  </si>
  <si>
    <t xml:space="preserve">Doc Summarization</t>
  </si>
  <si>
    <t xml:space="preserve">UC05</t>
  </si>
  <si>
    <t xml:space="preserve">Business Decisions</t>
  </si>
  <si>
    <t xml:space="preserve">UC06</t>
  </si>
  <si>
    <t xml:space="preserve">Decisions Impacting Individuals</t>
  </si>
  <si>
    <t xml:space="preserve">UC07</t>
  </si>
  <si>
    <t xml:space="preserve">Code Gen Dev</t>
  </si>
  <si>
    <t xml:space="preserve">UC08</t>
  </si>
  <si>
    <t xml:space="preserve">Sensitive Data</t>
  </si>
  <si>
    <t xml:space="preserve">UC09</t>
  </si>
  <si>
    <t xml:space="preserve">Semi-Auto Agents</t>
  </si>
  <si>
    <t xml:space="preserve">UC10</t>
  </si>
  <si>
    <t xml:space="preserve">Fully Autonomous</t>
  </si>
  <si>
    <t xml:space="preserve">UC11</t>
  </si>
  <si>
    <t xml:space="preserve">Third-Party Embedded</t>
  </si>
  <si>
    <t xml:space="preserve">UC12</t>
  </si>
  <si>
    <t xml:space="preserve">Hiring Recruitment</t>
  </si>
  <si>
    <t xml:space="preserve">UC13</t>
  </si>
  <si>
    <t xml:space="preserve">Legal Reg Drafting</t>
  </si>
  <si>
    <t xml:space="preserve">UC14</t>
  </si>
  <si>
    <t xml:space="preserve">Content Generation</t>
  </si>
  <si>
    <t xml:space="preserve">UC15</t>
  </si>
  <si>
    <t xml:space="preserve">Employee Monitoring</t>
  </si>
  <si>
    <t xml:space="preserve">UC16</t>
  </si>
  <si>
    <t xml:space="preserve">Shadow AI</t>
  </si>
  <si>
    <t xml:space="preserve">UC17</t>
  </si>
  <si>
    <t xml:space="preserve">AI In Product</t>
  </si>
  <si>
    <t xml:space="preserve">UC18</t>
  </si>
  <si>
    <t xml:space="preserve">Data Analysis ML</t>
  </si>
  <si>
    <t xml:space="preserve">UC19</t>
  </si>
  <si>
    <t xml:space="preserve">General Assistant</t>
  </si>
  <si>
    <t xml:space="preserve">UC20</t>
  </si>
  <si>
    <t xml:space="preserve">Accuracy Critical Research</t>
  </si>
  <si>
    <t xml:space="preserve">UC21</t>
  </si>
  <si>
    <t xml:space="preserve">Meeting Productivity</t>
  </si>
  <si>
    <t xml:space="preserve">UC22</t>
  </si>
  <si>
    <t xml:space="preserve">Model Training</t>
  </si>
  <si>
    <t xml:space="preserve">UC23</t>
  </si>
  <si>
    <t xml:space="preserve">Financial Processes</t>
  </si>
  <si>
    <t xml:space="preserve">UC24</t>
  </si>
  <si>
    <t xml:space="preserve">Physical IoT OT</t>
  </si>
  <si>
    <t xml:space="preserve">UC25</t>
  </si>
  <si>
    <t xml:space="preserve">Email Comms</t>
  </si>
  <si>
    <t xml:space="preserve">UC26</t>
  </si>
  <si>
    <t xml:space="preserve">Other AI (treated as UC19)</t>
  </si>
  <si>
    <t xml:space="preserve">→UC19</t>
  </si>
  <si>
    <t xml:space="preserve">UC27</t>
  </si>
  <si>
    <t xml:space="preserve">No AI (no other UC allowed)</t>
  </si>
  <si>
    <t xml:space="preserve">Legend</t>
  </si>
  <si>
    <t xml:space="preserve">Take every question from this QG</t>
  </si>
  <si>
    <t xml:space="preserve">Take a fixed subset (count from PullCounts tab)</t>
  </si>
  <si>
    <t xml:space="preserve">Random pull of N questions (count from PullCounts tab)</t>
  </si>
  <si>
    <t xml:space="preserve">Not applicable for this use case</t>
  </si>
  <si>
    <t xml:space="preserve">Per-QG pull counts at each target total</t>
  </si>
  <si>
    <t xml:space="preserve">These are the actual selection counts the engine should use for each QG. The total column is the upper bound — the bank size.</t>
  </si>
  <si>
    <t xml:space="preserve">NOTE: Block C target is now 50 per respondent (System 2). The 'C pull @40' / 'C pull @60' columns below are SOURCE values - they need re-tuning to sum to 50. Engine should scale proportionally until tuned.</t>
  </si>
  <si>
    <t xml:space="preserve">QG</t>
  </si>
  <si>
    <t xml:space="preserve">Block</t>
  </si>
  <si>
    <t xml:space="preserve">Total now</t>
  </si>
  <si>
    <t xml:space="preserve">Total future</t>
  </si>
  <si>
    <t xml:space="preserve">A pull @60</t>
  </si>
  <si>
    <t xml:space="preserve">A pull @75</t>
  </si>
  <si>
    <t xml:space="preserve">B pull @80</t>
  </si>
  <si>
    <t xml:space="preserve">B pull @105</t>
  </si>
  <si>
    <t xml:space="preserve">B pull @125</t>
  </si>
  <si>
    <t xml:space="preserve">A</t>
  </si>
  <si>
    <t xml:space="preserve">Block A total</t>
  </si>
  <si>
    <t xml:space="preserve">B</t>
  </si>
  <si>
    <t xml:space="preserve">Block B total</t>
  </si>
  <si>
    <t xml:space="preserve">Block C · Random pull counts (only when use cases are provided)</t>
  </si>
  <si>
    <t xml:space="preserve">C pull @40</t>
  </si>
  <si>
    <t xml:space="preserve">C pull @60</t>
  </si>
  <si>
    <t xml:space="preserve">C</t>
  </si>
  <si>
    <t xml:space="preserve">Block C total</t>
  </si>
  <si>
    <t xml:space="preserve">The six scenarios - System 1 (170) + System 2 (50) = 220 per respondent</t>
  </si>
  <si>
    <t xml:space="preserve">System 1 produces 170 questions (varying composition per scenario). System 2 produces 50 Block C questions per respondent. Total = 220 per respondent when UCs picked.</t>
  </si>
  <si>
    <t xml:space="preserve">Scenario</t>
  </si>
  <si>
    <t xml:space="preserve">Jurisdiction</t>
  </si>
  <si>
    <t xml:space="preserve">Industry</t>
  </si>
  <si>
    <t xml:space="preserve">UCs (per respondent)</t>
  </si>
  <si>
    <t xml:space="preserve">Block A</t>
  </si>
  <si>
    <t xml:space="preserve">Block B</t>
  </si>
  <si>
    <t xml:space="preserve">Jur Qs</t>
  </si>
  <si>
    <t xml:space="preserve">Ind Qs</t>
  </si>
  <si>
    <t xml:space="preserve">ISO Qs</t>
  </si>
  <si>
    <t xml:space="preserve">S1 subtotal</t>
  </si>
  <si>
    <t xml:space="preserve">S2 (Block C)</t>
  </si>
  <si>
    <t xml:space="preserve">TOTAL</t>
  </si>
  <si>
    <t xml:space="preserve">Scenario 1</t>
  </si>
  <si>
    <t xml:space="preserve">Yes</t>
  </si>
  <si>
    <t xml:space="preserve">Yes (1-5)</t>
  </si>
  <si>
    <t xml:space="preserve">Scenario 2</t>
  </si>
  <si>
    <t xml:space="preserve">No</t>
  </si>
  <si>
    <t xml:space="preserve">Scenario 3</t>
  </si>
  <si>
    <t xml:space="preserve">Scenario 4</t>
  </si>
  <si>
    <t xml:space="preserve">Scenario 5</t>
  </si>
  <si>
    <t xml:space="preserve">None</t>
  </si>
  <si>
    <t xml:space="preserve">Scenario 6</t>
  </si>
  <si>
    <t xml:space="preserve">!</t>
  </si>
  <si>
    <t xml:space="preserve">Scenarios 5 &amp; 6 produce only 170 questions (no UCs = no Block C). If 220 must be enforced even without UCs, Block A or B counts need re-tuning.</t>
  </si>
  <si>
    <t xml:space="preserve">How counts shift</t>
  </si>
  <si>
    <t xml:space="preserve">System 1 generates 170 questions when UCs are picked (S1-S4). Composition shifts: Block B absorbs missing jurisdiction or industry (S2/S3 have B=90; S4 has B=100).</t>
  </si>
  <si>
    <t xml:space="preserve">System 2 generates 50 Block C questions per respondent when they pick at least one UC.</t>
  </si>
  <si>
    <t xml:space="preserve">When no UCs are picked (S5/S6): System 1 grows to 200 (Block A=75, Block B=105 or 125 plus overlays), but Block C disappears -- total is 170 + 0.</t>
  </si>
  <si>
    <t xml:space="preserve">TWO RESPONDENTS each get their OWN 220-question questionnaire. ~170 are identical (System 1). ~50 differ (Block C, driven by their UC picks).</t>
  </si>
  <si>
    <t xml:space="preserve">ISO 42001 is independent: always 10 if pursuing certification, 0 otherwise.</t>
  </si>
  <si>
    <t xml:space="preserve">Block C allocation - splitting 50 questions across picked use cases</t>
  </si>
  <si>
    <t xml:space="preserve">System 2 produces 50 Block C questions per respondent. The 50 are split as evenly as possible across the use cases that respondent picked. Each UC's share is then distributed across the Block C QGs that intersect with it.</t>
  </si>
  <si>
    <t xml:space="preserve">Step 1 - Split 50 across the picked UCs (even-split rule)</t>
  </si>
  <si>
    <t xml:space="preserve">UCs picked</t>
  </si>
  <si>
    <t xml:space="preserve">Per-UC target</t>
  </si>
  <si>
    <t xml:space="preserve">Distribution</t>
  </si>
  <si>
    <t xml:space="preserve">Total check</t>
  </si>
  <si>
    <t xml:space="preserve">50</t>
  </si>
  <si>
    <t xml:space="preserve">All 50 to UC1</t>
  </si>
  <si>
    <t xml:space="preserve">25 each</t>
  </si>
  <si>
    <t xml:space="preserve">25 + 25</t>
  </si>
  <si>
    <t xml:space="preserve">16-17</t>
  </si>
  <si>
    <t xml:space="preserve">17 + 17 + 16</t>
  </si>
  <si>
    <t xml:space="preserve">12-13</t>
  </si>
  <si>
    <t xml:space="preserve">13 + 13 + 12 + 12</t>
  </si>
  <si>
    <t xml:space="preserve">10 each</t>
  </si>
  <si>
    <t xml:space="preserve">10 + 10 + 10 + 10 + 10</t>
  </si>
  <si>
    <t xml:space="preserve">When 50 doesn't divide evenly, the leftover questions go to the FIRST listed UCs (largest-remainder method, deterministic ordering by UC ID).</t>
  </si>
  <si>
    <t xml:space="preserve">Step 2 - Distribute each UC's share across its Block C QGs</t>
  </si>
  <si>
    <t xml:space="preserve">For each UC, identify the Block C QGs that intersect with that UC (i.e., QGs containing questions tagged to that UC). Distribute the UC's share across those QGs proportionally to how many questions in each QG are tagged to that UC. Random selection within each QG, no exact-question duplicates within a respondent's questionnaire.</t>
  </si>
  <si>
    <t xml:space="preserve">Fallback rules</t>
  </si>
  <si>
    <t xml:space="preserve">Eligible pool too small for UC's share</t>
  </si>
  <si>
    <t xml:space="preserve">If a UC's eligible pool (questions tagged to that UC across all Block C QGs) has fewer questions than the UC's target, take everything available. The leftover questions are redistributed to other UCs proportionally.</t>
  </si>
  <si>
    <t xml:space="preserve">QG depletion</t>
  </si>
  <si>
    <t xml:space="preserve">If a specific Block C QG runs out of UC-eligible questions, fill from another Block C QG that intersects the same UC.</t>
  </si>
  <si>
    <t xml:space="preserve">Duplicate prevention</t>
  </si>
  <si>
    <t xml:space="preserve">Within ONE respondent's Block C, no question appears twice even if eligible for multiple of their picked UCs. Multi-tagged questions count toward whichever UC's target is most underfilled at draw time.</t>
  </si>
  <si>
    <t xml:space="preserve">Cross-respondent independence</t>
  </si>
  <si>
    <t xml:space="preserve">Person 1 and Person 2 draw independently. The same question CAN appear in both their Block C sets - that's fine. Counted separately per respondent.</t>
  </si>
  <si>
    <t xml:space="preserve">Worked example A - Person picks 1 UC (UC16 Shadow AI)</t>
  </si>
  <si>
    <t xml:space="preserve">All 50 Block C questions go to UC16. Engine looks at every Block C QG that has at least one question tagged to UC16, then distributes the 50 across those QGs proportionally to UC16-tagged question count in each QG. Random pick within each QG.</t>
  </si>
  <si>
    <t xml:space="preserve">Block C QG</t>
  </si>
  <si>
    <t xml:space="preserve">UC16-tagged questions</t>
  </si>
  <si>
    <t xml:space="preserve">Share of 50</t>
  </si>
  <si>
    <t xml:space="preserve">Random pick from QG</t>
  </si>
  <si>
    <t xml:space="preserve">(Numbers are illustrative - actual UC-tag counts depend on question bank.)</t>
  </si>
  <si>
    <t xml:space="preserve">Worked example B - Person picks 3 UCs (UC03, UC07, UC16)</t>
  </si>
  <si>
    <t xml:space="preserve">50 splits as 17 + 17 + 16 across the three UCs. Engine allocates each UC's share to the Block C QGs that intersect that UC. Multi-tagged questions are credited to whichever UC is most underfilled at draw time.</t>
  </si>
  <si>
    <t xml:space="preserve">UC</t>
  </si>
  <si>
    <t xml:space="preserve">Target share</t>
  </si>
  <si>
    <t xml:space="preserve">Eligible Block C QGs</t>
  </si>
  <si>
    <t xml:space="preserve">Pull plan</t>
  </si>
  <si>
    <t xml:space="preserve">UC03 Customer Chatbot</t>
  </si>
  <si>
    <t xml:space="preserve">QG002, QG013, QG017, QG028, QG037</t>
  </si>
  <si>
    <t xml:space="preserve">~3-4 from each QG</t>
  </si>
  <si>
    <t xml:space="preserve">UC07 Code Gen Dev</t>
  </si>
  <si>
    <t xml:space="preserve">QG001, QG008, QG033, QG034, QG036</t>
  </si>
  <si>
    <t xml:space="preserve">UC16 Shadow AI</t>
  </si>
  <si>
    <t xml:space="preserve">QG001, QG013, QG028, QG033, QG037</t>
  </si>
  <si>
    <t xml:space="preserve">~3 from each QG</t>
  </si>
  <si>
    <t xml:space="preserve">(union of QGs - no double-pulls)</t>
  </si>
  <si>
    <t xml:space="preserve">50 unique questions</t>
  </si>
  <si>
    <t xml:space="preserve">Notice QG001, QG013, QG028, QG033, QG037 appear under multiple UCs - these are the high-overlap QGs. The engine deduplicates so a question appears once.</t>
  </si>
  <si>
    <t xml:space="preserve">Worked example C - Person picks 5 UCs (max)</t>
  </si>
  <si>
    <t xml:space="preserve">50 splits as 10 + 10 + 10 + 10 + 10. Each UC gets exactly 10 questions. With 5 UCs the eligible pool is widest, so QG distribution is most flexible. Each UC's 10 questions spread across its eligible Block C QGs (typically 2-3 questions per QG per UC).</t>
  </si>
  <si>
    <t xml:space="preserve">Typical QG spread</t>
  </si>
  <si>
    <t xml:space="preserve">2-3 questions across 4-5 eligible QGs</t>
  </si>
  <si>
    <t xml:space="preserve">After dedup: 50 unique questions in Block C</t>
  </si>
  <si>
    <t xml:space="preserve">Edge cases</t>
  </si>
  <si>
    <t xml:space="preserve">Picked UC has very few eligible questions</t>
  </si>
  <si>
    <t xml:space="preserve">If a UC's eligible Block C pool is smaller than its target share, take all available. Redistribute remainder to other UCs evenly.</t>
  </si>
  <si>
    <t xml:space="preserve">All picked UCs share the same Block C QGs</t>
  </si>
  <si>
    <t xml:space="preserve">Common case - many UCs intersect 6-7 of the same QGs. Engine still hits 50 by deduplicating selected questions.</t>
  </si>
  <si>
    <t xml:space="preserve">Picked UC has zero Block C eligibility</t>
  </si>
  <si>
    <t xml:space="preserve">Skip that UC's share. Redistribute its target to remaining UCs evenly. Flag in validation report.</t>
  </si>
  <si>
    <t xml:space="preserve">Person picks UC27 (No AI)</t>
  </si>
  <si>
    <t xml:space="preserve">No Block C selection. Their questionnaire = 170 only (System 1 portion). Not 220.</t>
  </si>
  <si>
    <t xml:space="preserve">Person picks UC26 (Other AI)</t>
  </si>
  <si>
    <t xml:space="preserve">Treat as UC19 (General Assistant). Allocate as if they picked UC19.</t>
  </si>
  <si>
    <t xml:space="preserve">Summary</t>
  </si>
  <si>
    <t xml:space="preserve">Block C = 50 questions per respondent, fixed. Split across picked UCs as evenly as possible (1 -&gt; 50, 2 -&gt; 25+25, 3 -&gt; 17+17+16, 4 -&gt; 13+13+12+12, 5 -&gt; 10x5). Each UC's share is distributed across the Block C QGs that intersect it. Multi-tagged questions appear once and credit the most-underfilled UC. Each respondent draws independently.</t>
  </si>
  <si>
    <t xml:space="preserve">Reporting credits - per respondent</t>
  </si>
  <si>
    <t xml:space="preserve">Each respondent's questionnaire is independent. Multi-tagged questions in their Block C credit each of THAT respondent's selected UCs that match the question's tags.</t>
  </si>
  <si>
    <t xml:space="preserve">The rule (per respondent)</t>
  </si>
  <si>
    <t xml:space="preserve">Within a respondent's questionnaire, a question is selected ONCE. No duplicates inside their own 210.</t>
  </si>
  <si>
    <t xml:space="preserve">For each respondent independently: each UC that THEY selected AND that the question is tagged to receives 1 credit.</t>
  </si>
  <si>
    <t xml:space="preserve">Credits are for analysis and reporting only - they don't affect selection counts or the 210 total.</t>
  </si>
  <si>
    <t xml:space="preserve">The other respondent's UC picks are irrelevant to this respondent's credits. The two questionnaires are scored separately.</t>
  </si>
  <si>
    <t xml:space="preserve">Worked example</t>
  </si>
  <si>
    <t xml:space="preserve">Question Q-1408: 'Does the organization monitor unauthorized AI tool usage on its network?'</t>
  </si>
  <si>
    <t xml:space="preserve">Tagged to:</t>
  </si>
  <si>
    <t xml:space="preserve">UC07 (Code Gen), UC16 (Shadow AI), UC18 (Data Analysis ML)</t>
  </si>
  <si>
    <t xml:space="preserve">Person 1's questionnaire</t>
  </si>
  <si>
    <t xml:space="preserve">Person 1 picks:</t>
  </si>
  <si>
    <t xml:space="preserve">UC07, UC16</t>
  </si>
  <si>
    <t xml:space="preserve">Q-1408 in P1's Block C?</t>
  </si>
  <si>
    <t xml:space="preserve">Eligible - tagged to UC07 (one of P1's picks). Could be drawn in random pull.</t>
  </si>
  <si>
    <t xml:space="preserve">If selected, P1 credits:</t>
  </si>
  <si>
    <t xml:space="preserve">UC07 (+1) and UC16 (+1). UC18 is on the question but P1 didn't pick it - no credit.</t>
  </si>
  <si>
    <t xml:space="preserve">Person 2's questionnaire (independent)</t>
  </si>
  <si>
    <t xml:space="preserve">Person 2 picks:</t>
  </si>
  <si>
    <t xml:space="preserve">UC18, UC22</t>
  </si>
  <si>
    <t xml:space="preserve">Q-1408 in P2's Block C?</t>
  </si>
  <si>
    <t xml:space="preserve">Eligible - tagged to UC18 (one of P2's picks). Independent draw - may or may not be selected.</t>
  </si>
  <si>
    <t xml:space="preserve">If selected for P2, credits:</t>
  </si>
  <si>
    <t xml:space="preserve">UC18 (+1) only. UC07 and UC16 not P2's picks - no credit even though tagged.</t>
  </si>
  <si>
    <t xml:space="preserve">Key insight</t>
  </si>
  <si>
    <t xml:space="preserve">The same question Q-1408 may appear in BOTH questionnaires (selected for both) or in NEITHER or in ONLY ONE - it's two independent random draws. When it appears in a questionnaire, it credits ONLY the UCs picked by THAT respondent. This keeps the two analyses cleanly separable.</t>
  </si>
  <si>
    <t xml:space="preserve">What you can analyze across the two questionnaires</t>
  </si>
  <si>
    <t xml:space="preserve">Same-question agreement</t>
  </si>
  <si>
    <t xml:space="preserve">For the ~170 shared questions, compare P1 vs P2 answers directly - identifies internal consensus or disagreement.</t>
  </si>
  <si>
    <t xml:space="preserve">UC scope agreement</t>
  </si>
  <si>
    <t xml:space="preserve">Compare A vs B (P1's UCs vs P2's UCs) - shows whether respondents agree on what AI is in scope.</t>
  </si>
  <si>
    <t xml:space="preserve">Unique-to-respondent insights</t>
  </si>
  <si>
    <t xml:space="preserve">Each respondent's Block C answers reveal perspective-specific risks the other respondent didn't surface.</t>
  </si>
  <si>
    <t xml:space="preserve">Combined coverage</t>
  </si>
  <si>
    <t xml:space="preserve">Union of both Block Cs gives broadest UC coverage even though no single questionnaire covered everything.</t>
  </si>
  <si>
    <t xml:space="preserve">Overlay banks — Jurisdiction, Industry, ISO 42001</t>
  </si>
  <si>
    <t xml:space="preserve">These are added on top of the core blocks based on onboarding dropdowns/flags.</t>
  </si>
  <si>
    <t xml:space="preserve">Jurisdiction overlay (single dropdown, mutually exclusive)</t>
  </si>
  <si>
    <t xml:space="preserve">Selection</t>
  </si>
  <si>
    <t xml:space="preserve">Questions added</t>
  </si>
  <si>
    <t xml:space="preserve">Canada - All</t>
  </si>
  <si>
    <t xml:space="preserve">Quebec, Canada</t>
  </si>
  <si>
    <t xml:space="preserve">Ontario, Canada</t>
  </si>
  <si>
    <t xml:space="preserve">British Columbia, Canada</t>
  </si>
  <si>
    <t xml:space="preserve">USA - All</t>
  </si>
  <si>
    <t xml:space="preserve">New York, USA</t>
  </si>
  <si>
    <t xml:space="preserve">Texas, USA</t>
  </si>
  <si>
    <t xml:space="preserve">Colorado, USA</t>
  </si>
  <si>
    <t xml:space="preserve">California, USA</t>
  </si>
  <si>
    <t xml:space="preserve">European Union</t>
  </si>
  <si>
    <t xml:space="preserve">Other Jurisdiction</t>
  </si>
  <si>
    <t xml:space="preserve">Industry overlay (single dropdown, mutually exclusive)</t>
  </si>
  <si>
    <t xml:space="preserve">Utilities, Power, Infrastructure</t>
  </si>
  <si>
    <t xml:space="preserve">Education Sector (College, University)</t>
  </si>
  <si>
    <t xml:space="preserve">Healthcare, Medical Services</t>
  </si>
  <si>
    <t xml:space="preserve">Banking, Finance</t>
  </si>
  <si>
    <t xml:space="preserve">E-Commerce, Internet Web Based</t>
  </si>
  <si>
    <t xml:space="preserve">Legal, Accounting, Professional</t>
  </si>
  <si>
    <t xml:space="preserve">Transportation, Logistics, Travel</t>
  </si>
  <si>
    <t xml:space="preserve">Government, Military</t>
  </si>
  <si>
    <t xml:space="preserve">Retail, Consumer</t>
  </si>
  <si>
    <t xml:space="preserve">Not Specified</t>
  </si>
  <si>
    <t xml:space="preserve">ISO 42001 overlay (single checkbox)</t>
  </si>
  <si>
    <t xml:space="preserve">Planning to pursue ISO 42001 or other global certification</t>
  </si>
  <si>
    <t xml:space="preserve">Not pursuing</t>
  </si>
  <si>
    <t xml:space="preserve">Use case reference — UC01 through UC27</t>
  </si>
  <si>
    <t xml:space="preserve">Selecting any of UC01–UC25 enables Blocks A, B, and C. UC26 routes to UC19. UC27 disables all blocks.</t>
  </si>
  <si>
    <t xml:space="preserve">UC ID</t>
  </si>
  <si>
    <t xml:space="preserve">Name</t>
  </si>
  <si>
    <t xml:space="preserve">Engine treatment</t>
  </si>
  <si>
    <t xml:space="preserve">Standard — enables Blocks A, B, C</t>
  </si>
  <si>
    <t xml:space="preserve">Treated as UC19 (General Assistant)</t>
  </si>
  <si>
    <t xml:space="preserve">No other UC allowed; Blocks A/B/C all skipped</t>
  </si>
</sst>
</file>

<file path=xl/styles.xml><?xml version="1.0" encoding="utf-8"?>
<styleSheet xmlns="http://schemas.openxmlformats.org/spreadsheetml/2006/main">
  <numFmts count="2">
    <numFmt numFmtId="164" formatCode="General"/>
    <numFmt numFmtId="165" formatCode="General"/>
  </numFmts>
  <fonts count="19">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1"/>
      <color rgb="FF000000"/>
      <name val="Arial"/>
      <family val="0"/>
      <charset val="1"/>
    </font>
    <font>
      <sz val="10"/>
      <color rgb="FF000000"/>
      <name val="Arial"/>
      <family val="0"/>
      <charset val="1"/>
    </font>
    <font>
      <b val="true"/>
      <sz val="10"/>
      <color rgb="FF000000"/>
      <name val="Arial"/>
      <family val="0"/>
      <charset val="1"/>
    </font>
    <font>
      <b val="true"/>
      <sz val="10"/>
      <color rgb="FF0563C1"/>
      <name val="Arial"/>
      <family val="0"/>
      <charset val="1"/>
    </font>
    <font>
      <sz val="9"/>
      <color rgb="FF6B7280"/>
      <name val="Arial"/>
      <family val="0"/>
      <charset val="1"/>
    </font>
    <font>
      <sz val="9"/>
      <color rgb="FF000000"/>
      <name val="Arial"/>
      <family val="0"/>
      <charset val="1"/>
    </font>
    <font>
      <i val="true"/>
      <sz val="10"/>
      <color rgb="FF000000"/>
      <name val="Arial"/>
      <family val="0"/>
      <charset val="1"/>
    </font>
    <font>
      <b val="true"/>
      <sz val="9"/>
      <color rgb="FF000000"/>
      <name val="Arial"/>
      <family val="0"/>
      <charset val="1"/>
    </font>
    <font>
      <sz val="8"/>
      <color rgb="FF000000"/>
      <name val="Arial"/>
      <family val="0"/>
      <charset val="1"/>
    </font>
    <font>
      <b val="true"/>
      <sz val="9"/>
      <color rgb="FFA30000"/>
      <name val="Arial"/>
      <family val="0"/>
      <charset val="1"/>
    </font>
    <font>
      <b val="true"/>
      <sz val="11"/>
      <color rgb="FFA30000"/>
      <name val="Arial"/>
      <family val="0"/>
      <charset val="1"/>
    </font>
    <font>
      <i val="true"/>
      <sz val="9"/>
      <color rgb="FFA30000"/>
      <name val="Arial"/>
      <family val="0"/>
      <charset val="1"/>
    </font>
    <font>
      <i val="true"/>
      <sz val="9"/>
      <color rgb="FF6B7280"/>
      <name val="Arial"/>
      <family val="0"/>
      <charset val="1"/>
    </font>
    <font>
      <b val="true"/>
      <i val="true"/>
      <sz val="10"/>
      <color rgb="FF000000"/>
      <name val="Arial"/>
      <family val="0"/>
      <charset val="1"/>
    </font>
  </fonts>
  <fills count="17">
    <fill>
      <patternFill patternType="none"/>
    </fill>
    <fill>
      <patternFill patternType="gray125"/>
    </fill>
    <fill>
      <patternFill patternType="solid">
        <fgColor rgb="FF1F2937"/>
        <bgColor rgb="FF333300"/>
      </patternFill>
    </fill>
    <fill>
      <patternFill patternType="solid">
        <fgColor rgb="FFCFE8E0"/>
        <bgColor rgb="FFD5E7C5"/>
      </patternFill>
    </fill>
    <fill>
      <patternFill patternType="solid">
        <fgColor rgb="FFF8E0B6"/>
        <bgColor rgb="FFFCE4D6"/>
      </patternFill>
    </fill>
    <fill>
      <patternFill patternType="solid">
        <fgColor rgb="FFF5C7B4"/>
        <bgColor rgb="FFF4CCCC"/>
      </patternFill>
    </fill>
    <fill>
      <patternFill patternType="solid">
        <fgColor rgb="FFC9DAF8"/>
        <bgColor rgb="FFCFE8E0"/>
      </patternFill>
    </fill>
    <fill>
      <patternFill patternType="solid">
        <fgColor rgb="FFDDEBF7"/>
        <bgColor rgb="FFE5E7EB"/>
      </patternFill>
    </fill>
    <fill>
      <patternFill patternType="solid">
        <fgColor rgb="FFFCE4D6"/>
        <bgColor rgb="FFFFD6D6"/>
      </patternFill>
    </fill>
    <fill>
      <patternFill patternType="solid">
        <fgColor rgb="FFE2EFDA"/>
        <bgColor rgb="FFE5E7EB"/>
      </patternFill>
    </fill>
    <fill>
      <patternFill patternType="solid">
        <fgColor rgb="FFDCDCDC"/>
        <bgColor rgb="FFE5E7EB"/>
      </patternFill>
    </fill>
    <fill>
      <patternFill patternType="solid">
        <fgColor rgb="FFF3F4F6"/>
        <bgColor rgb="FFFFFFFF"/>
      </patternFill>
    </fill>
    <fill>
      <patternFill patternType="solid">
        <fgColor rgb="FFE5E7EB"/>
        <bgColor rgb="FFDDEBF7"/>
      </patternFill>
    </fill>
    <fill>
      <patternFill patternType="solid">
        <fgColor rgb="FFFFF2CC"/>
        <bgColor rgb="FFFCE4D6"/>
      </patternFill>
    </fill>
    <fill>
      <patternFill patternType="solid">
        <fgColor rgb="FFD5E7C5"/>
        <bgColor rgb="FFCFE8E0"/>
      </patternFill>
    </fill>
    <fill>
      <patternFill patternType="solid">
        <fgColor rgb="FFFFD6D6"/>
        <bgColor rgb="FFF4CCCC"/>
      </patternFill>
    </fill>
    <fill>
      <patternFill patternType="solid">
        <fgColor rgb="FFF4CCCC"/>
        <bgColor rgb="FFF5C7B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64" fontId="0" fillId="9" borderId="1" xfId="0" applyFont="false" applyBorder="true" applyAlignment="true" applyProtection="false">
      <alignment horizontal="general" vertical="bottom" textRotation="0" wrapText="false" indent="0" shrinkToFit="false"/>
      <protection locked="true" hidden="false"/>
    </xf>
    <xf numFmtId="164" fontId="0" fillId="10" borderId="1" xfId="0" applyFont="fals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5" fillId="11" borderId="0" xfId="0" applyFont="true" applyBorder="true" applyAlignment="true" applyProtection="false">
      <alignment horizontal="left" vertical="center" textRotation="0" wrapText="false" indent="1"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4" fontId="7" fillId="13" borderId="1" xfId="0" applyFont="true" applyBorder="true" applyAlignment="true" applyProtection="false">
      <alignment horizontal="left" vertical="top" textRotation="0" wrapText="true" indent="0" shrinkToFit="false"/>
      <protection locked="true" hidden="false"/>
    </xf>
    <xf numFmtId="164" fontId="10" fillId="13" borderId="1" xfId="0" applyFont="true" applyBorder="true" applyAlignment="true" applyProtection="false">
      <alignment horizontal="left" vertical="top" textRotation="0" wrapText="true" indent="0" shrinkToFit="false"/>
      <protection locked="true" hidden="false"/>
    </xf>
    <xf numFmtId="164" fontId="7" fillId="9" borderId="1" xfId="0" applyFont="true" applyBorder="true" applyAlignment="true" applyProtection="false">
      <alignment horizontal="left" vertical="top" textRotation="0" wrapText="true" indent="0" shrinkToFit="false"/>
      <protection locked="true" hidden="false"/>
    </xf>
    <xf numFmtId="164" fontId="10" fillId="9" borderId="1" xfId="0" applyFont="true" applyBorder="true" applyAlignment="true" applyProtection="false">
      <alignment horizontal="left" vertical="top" textRotation="0" wrapText="true" indent="0" shrinkToFit="false"/>
      <protection locked="true" hidden="false"/>
    </xf>
    <xf numFmtId="164" fontId="7" fillId="14" borderId="1" xfId="0" applyFont="true" applyBorder="true" applyAlignment="true" applyProtection="false">
      <alignment horizontal="left" vertical="top" textRotation="0" wrapText="true" indent="0" shrinkToFit="false"/>
      <protection locked="true" hidden="false"/>
    </xf>
    <xf numFmtId="164" fontId="10" fillId="14"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left"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7" fillId="14" borderId="1" xfId="0" applyFont="true" applyBorder="true" applyAlignment="true" applyProtection="false">
      <alignment horizontal="left" vertical="center" textRotation="0" wrapText="true" indent="0" shrinkToFit="false"/>
      <protection locked="true" hidden="false"/>
    </xf>
    <xf numFmtId="164" fontId="7" fillId="14"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6" fillId="7" borderId="1" xfId="0" applyFont="true" applyBorder="true" applyAlignment="true" applyProtection="false">
      <alignment horizontal="left" vertical="center" textRotation="0" wrapText="true" indent="0" shrinkToFit="false"/>
      <protection locked="true" hidden="false"/>
    </xf>
    <xf numFmtId="164" fontId="6" fillId="8"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0" fillId="12" borderId="0" xfId="0" applyFont="false" applyBorder="false" applyAlignment="true" applyProtection="false">
      <alignment horizontal="general" vertical="bottom" textRotation="0" wrapText="false" indent="0" shrinkToFit="false"/>
      <protection locked="true" hidden="false"/>
    </xf>
    <xf numFmtId="164" fontId="7" fillId="3" borderId="0" xfId="0" applyFont="true" applyBorder="true" applyAlignment="true" applyProtection="false">
      <alignment horizontal="center" vertical="center" textRotation="0" wrapText="true" indent="0" shrinkToFit="false"/>
      <protection locked="true" hidden="false"/>
    </xf>
    <xf numFmtId="164" fontId="7" fillId="4" borderId="0"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true" applyAlignment="true" applyProtection="false">
      <alignment horizontal="center" vertical="center" textRotation="0" wrapText="true" indent="0" shrinkToFit="false"/>
      <protection locked="true" hidden="false"/>
    </xf>
    <xf numFmtId="164" fontId="7" fillId="12" borderId="0" xfId="0" applyFont="true" applyBorder="fals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90" wrapText="false" indent="0" shrinkToFit="false"/>
      <protection locked="true" hidden="false"/>
    </xf>
    <xf numFmtId="164" fontId="12" fillId="4" borderId="1" xfId="0" applyFont="true" applyBorder="true" applyAlignment="true" applyProtection="false">
      <alignment horizontal="center" vertical="center" textRotation="90" wrapText="false" indent="0" shrinkToFit="false"/>
      <protection locked="true" hidden="false"/>
    </xf>
    <xf numFmtId="164" fontId="12" fillId="5" borderId="1" xfId="0" applyFont="true" applyBorder="true" applyAlignment="true" applyProtection="false">
      <alignment horizontal="center" vertical="center" textRotation="90" wrapText="fals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13" fillId="10"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2" fillId="10" borderId="1" xfId="0" applyFont="true" applyBorder="true" applyAlignment="true" applyProtection="false">
      <alignment horizontal="center" vertical="center" textRotation="0" wrapText="true" indent="0" shrinkToFit="false"/>
      <protection locked="true" hidden="false"/>
    </xf>
    <xf numFmtId="164" fontId="14" fillId="15" borderId="0"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14"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5" fontId="7" fillId="15"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left"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left"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3" borderId="1" xfId="0" applyFont="true" applyBorder="true" applyAlignment="true" applyProtection="false">
      <alignment horizontal="center" vertical="center" textRotation="0" wrapText="true" indent="0" shrinkToFit="false"/>
      <protection locked="true" hidden="false"/>
    </xf>
    <xf numFmtId="164" fontId="6" fillId="13" borderId="1" xfId="0" applyFont="true" applyBorder="true" applyAlignment="true" applyProtection="false">
      <alignment horizontal="left" vertical="center" textRotation="0" wrapText="true" indent="0" shrinkToFit="false"/>
      <protection locked="true" hidden="false"/>
    </xf>
    <xf numFmtId="164" fontId="6" fillId="16" borderId="1" xfId="0" applyFont="true" applyBorder="true" applyAlignment="true" applyProtection="false">
      <alignment horizontal="center" vertical="center" textRotation="0" wrapText="true" indent="0" shrinkToFit="false"/>
      <protection locked="true" hidden="false"/>
    </xf>
    <xf numFmtId="164" fontId="6" fillId="16" borderId="1" xfId="0" applyFont="true" applyBorder="true" applyAlignment="true" applyProtection="false">
      <alignment horizontal="left" vertical="center" textRotation="0" wrapText="true" indent="0" shrinkToFit="false"/>
      <protection locked="true" hidden="false"/>
    </xf>
    <xf numFmtId="164" fontId="18" fillId="0" borderId="0" xfId="0" applyFont="true" applyBorder="true" applyAlignment="true" applyProtection="false">
      <alignment horizontal="left" vertical="center" textRotation="0" wrapText="tru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4" fontId="6" fillId="7" borderId="0" xfId="0" applyFont="true" applyBorder="true" applyAlignment="true" applyProtection="false">
      <alignment horizontal="general" vertical="bottom" textRotation="0" wrapText="false" indent="0" shrinkToFit="false"/>
      <protection locked="true" hidden="false"/>
    </xf>
    <xf numFmtId="164" fontId="7" fillId="13" borderId="0" xfId="0" applyFont="true" applyBorder="false" applyAlignment="true" applyProtection="false">
      <alignment horizontal="general" vertical="bottom" textRotation="0" wrapText="false" indent="0" shrinkToFit="false"/>
      <protection locked="true" hidden="false"/>
    </xf>
    <xf numFmtId="164" fontId="6" fillId="13" borderId="0" xfId="0" applyFont="true" applyBorder="true" applyAlignment="true" applyProtection="false">
      <alignment horizontal="general" vertical="bottom" textRotation="0" wrapText="false" indent="0" shrinkToFit="false"/>
      <protection locked="true" hidden="false"/>
    </xf>
    <xf numFmtId="164" fontId="7" fillId="8" borderId="0" xfId="0" applyFont="true" applyBorder="false" applyAlignment="true" applyProtection="false">
      <alignment horizontal="general" vertical="bottom" textRotation="0" wrapText="false" indent="0" shrinkToFit="false"/>
      <protection locked="true" hidden="false"/>
    </xf>
    <xf numFmtId="164" fontId="6" fillId="8" borderId="0" xfId="0" applyFont="true" applyBorder="true" applyAlignment="true" applyProtection="false">
      <alignment horizontal="general" vertical="bottom" textRotation="0" wrapText="fals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3F4F6"/>
      <rgbColor rgb="FFFF00FF"/>
      <rgbColor rgb="FF00FFFF"/>
      <rgbColor rgb="FFA30000"/>
      <rgbColor rgb="FF008000"/>
      <rgbColor rgb="FF000080"/>
      <rgbColor rgb="FF808000"/>
      <rgbColor rgb="FF800080"/>
      <rgbColor rgb="FF008080"/>
      <rgbColor rgb="FFBFBFBF"/>
      <rgbColor rgb="FF808080"/>
      <rgbColor rgb="FFD5E7C5"/>
      <rgbColor rgb="FF993366"/>
      <rgbColor rgb="FFFFF2CC"/>
      <rgbColor rgb="FFDDEBF7"/>
      <rgbColor rgb="FF660066"/>
      <rgbColor rgb="FFFF8080"/>
      <rgbColor rgb="FF0563C1"/>
      <rgbColor rgb="FFC9DAF8"/>
      <rgbColor rgb="FF000080"/>
      <rgbColor rgb="FFFF00FF"/>
      <rgbColor rgb="FFFFFF00"/>
      <rgbColor rgb="FF00FFFF"/>
      <rgbColor rgb="FF800080"/>
      <rgbColor rgb="FF800000"/>
      <rgbColor rgb="FF008080"/>
      <rgbColor rgb="FF0000FF"/>
      <rgbColor rgb="FF00CCFF"/>
      <rgbColor rgb="FFCFE8E0"/>
      <rgbColor rgb="FFE2EFDA"/>
      <rgbColor rgb="FFF8E0B6"/>
      <rgbColor rgb="FFDCDCDC"/>
      <rgbColor rgb="FFF4CCCC"/>
      <rgbColor rgb="FFFFD6D6"/>
      <rgbColor rgb="FFF5C7B4"/>
      <rgbColor rgb="FF3366FF"/>
      <rgbColor rgb="FF33CCCC"/>
      <rgbColor rgb="FF99CC00"/>
      <rgbColor rgb="FFFCE4D6"/>
      <rgbColor rgb="FFFF9900"/>
      <rgbColor rgb="FFFF6600"/>
      <rgbColor rgb="FF6B7280"/>
      <rgbColor rgb="FFE5E7EB"/>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40"/>
    <col collapsed="false" customWidth="true" hidden="false" outlineLevel="0" max="6" min="3" style="1" width="18"/>
  </cols>
  <sheetData>
    <row r="1" customFormat="false" ht="24" hidden="false" customHeight="true" outlineLevel="0" collapsed="false">
      <c r="A1" s="2" t="s">
        <v>0</v>
      </c>
      <c r="B1" s="2"/>
      <c r="C1" s="2"/>
      <c r="D1" s="2"/>
      <c r="E1" s="2"/>
      <c r="F1" s="2"/>
    </row>
    <row r="3" customFormat="false" ht="15" hidden="false" customHeight="true" outlineLevel="0" collapsed="false">
      <c r="A3" s="3" t="s">
        <v>1</v>
      </c>
    </row>
    <row r="4" customFormat="false" ht="15" hidden="false" customHeight="true" outlineLevel="0" collapsed="false">
      <c r="A4" s="4" t="s">
        <v>2</v>
      </c>
      <c r="B4" s="4"/>
      <c r="C4" s="4"/>
      <c r="D4" s="4"/>
      <c r="E4" s="4"/>
      <c r="F4" s="4"/>
    </row>
    <row r="5" customFormat="false" ht="15" hidden="false" customHeight="true" outlineLevel="0" collapsed="false">
      <c r="A5" s="4"/>
      <c r="B5" s="4"/>
      <c r="C5" s="4"/>
      <c r="D5" s="4"/>
      <c r="E5" s="4"/>
      <c r="F5" s="4"/>
    </row>
    <row r="6" customFormat="false" ht="15" hidden="false" customHeight="true" outlineLevel="0" collapsed="false">
      <c r="A6" s="4"/>
      <c r="B6" s="4"/>
      <c r="C6" s="4"/>
      <c r="D6" s="4"/>
      <c r="E6" s="4"/>
      <c r="F6" s="4"/>
    </row>
    <row r="7" customFormat="false" ht="15" hidden="false" customHeight="true" outlineLevel="0" collapsed="false">
      <c r="A7" s="4"/>
      <c r="B7" s="4"/>
      <c r="C7" s="4"/>
      <c r="D7" s="4"/>
      <c r="E7" s="4"/>
      <c r="F7" s="4"/>
    </row>
    <row r="9" customFormat="false" ht="15" hidden="false" customHeight="true" outlineLevel="0" collapsed="false">
      <c r="A9" s="3" t="s">
        <v>3</v>
      </c>
    </row>
    <row r="10" customFormat="false" ht="15" hidden="false" customHeight="true" outlineLevel="0" collapsed="false">
      <c r="A10" s="5" t="s">
        <v>4</v>
      </c>
      <c r="B10" s="6" t="s">
        <v>5</v>
      </c>
      <c r="C10" s="6"/>
      <c r="D10" s="6"/>
      <c r="E10" s="6"/>
      <c r="F10" s="6"/>
    </row>
    <row r="11" customFormat="false" ht="15" hidden="false" customHeight="true" outlineLevel="0" collapsed="false">
      <c r="A11" s="5" t="s">
        <v>4</v>
      </c>
      <c r="B11" s="6" t="s">
        <v>6</v>
      </c>
      <c r="C11" s="6"/>
      <c r="D11" s="6"/>
      <c r="E11" s="6"/>
      <c r="F11" s="6"/>
    </row>
    <row r="12" customFormat="false" ht="15" hidden="false" customHeight="true" outlineLevel="0" collapsed="false">
      <c r="A12" s="5" t="s">
        <v>4</v>
      </c>
      <c r="B12" s="6" t="s">
        <v>7</v>
      </c>
      <c r="C12" s="6"/>
      <c r="D12" s="6"/>
      <c r="E12" s="6"/>
      <c r="F12" s="6"/>
    </row>
    <row r="13" customFormat="false" ht="15" hidden="false" customHeight="true" outlineLevel="0" collapsed="false">
      <c r="A13" s="5" t="s">
        <v>4</v>
      </c>
      <c r="B13" s="6" t="s">
        <v>8</v>
      </c>
      <c r="C13" s="6"/>
      <c r="D13" s="6"/>
      <c r="E13" s="6"/>
      <c r="F13" s="6"/>
    </row>
    <row r="14" customFormat="false" ht="15" hidden="false" customHeight="true" outlineLevel="0" collapsed="false">
      <c r="A14" s="5" t="s">
        <v>4</v>
      </c>
      <c r="B14" s="6" t="s">
        <v>9</v>
      </c>
      <c r="C14" s="6"/>
      <c r="D14" s="6"/>
      <c r="E14" s="6"/>
      <c r="F14" s="6"/>
    </row>
    <row r="16" customFormat="false" ht="15" hidden="false" customHeight="true" outlineLevel="0" collapsed="false">
      <c r="A16" s="3" t="s">
        <v>10</v>
      </c>
    </row>
    <row r="17" customFormat="false" ht="15" hidden="false" customHeight="true" outlineLevel="0" collapsed="false">
      <c r="A17" s="7" t="s">
        <v>11</v>
      </c>
      <c r="B17" s="6" t="s">
        <v>12</v>
      </c>
      <c r="C17" s="6"/>
      <c r="D17" s="6"/>
      <c r="E17" s="6"/>
      <c r="F17" s="6"/>
    </row>
    <row r="18" customFormat="false" ht="15" hidden="false" customHeight="true" outlineLevel="0" collapsed="false">
      <c r="A18" s="7" t="s">
        <v>13</v>
      </c>
      <c r="B18" s="6" t="s">
        <v>14</v>
      </c>
      <c r="C18" s="6"/>
      <c r="D18" s="6"/>
      <c r="E18" s="6"/>
      <c r="F18" s="6"/>
    </row>
    <row r="19" customFormat="false" ht="15" hidden="false" customHeight="true" outlineLevel="0" collapsed="false">
      <c r="A19" s="7" t="s">
        <v>15</v>
      </c>
      <c r="B19" s="6" t="s">
        <v>16</v>
      </c>
      <c r="C19" s="6"/>
      <c r="D19" s="6"/>
      <c r="E19" s="6"/>
      <c r="F19" s="6"/>
    </row>
    <row r="20" customFormat="false" ht="15" hidden="false" customHeight="true" outlineLevel="0" collapsed="false">
      <c r="A20" s="7" t="s">
        <v>17</v>
      </c>
      <c r="B20" s="6" t="s">
        <v>18</v>
      </c>
      <c r="C20" s="6"/>
      <c r="D20" s="6"/>
      <c r="E20" s="6"/>
      <c r="F20" s="6"/>
    </row>
    <row r="21" customFormat="false" ht="15" hidden="false" customHeight="true" outlineLevel="0" collapsed="false">
      <c r="A21" s="7" t="s">
        <v>19</v>
      </c>
      <c r="B21" s="6" t="s">
        <v>20</v>
      </c>
      <c r="C21" s="6"/>
      <c r="D21" s="6"/>
      <c r="E21" s="6"/>
      <c r="F21" s="6"/>
    </row>
    <row r="22" customFormat="false" ht="15" hidden="false" customHeight="true" outlineLevel="0" collapsed="false">
      <c r="A22" s="7" t="s">
        <v>21</v>
      </c>
      <c r="B22" s="6" t="s">
        <v>22</v>
      </c>
      <c r="C22" s="6"/>
      <c r="D22" s="6"/>
      <c r="E22" s="6"/>
      <c r="F22" s="6"/>
    </row>
    <row r="23" customFormat="false" ht="15" hidden="false" customHeight="true" outlineLevel="0" collapsed="false">
      <c r="A23" s="7" t="s">
        <v>23</v>
      </c>
      <c r="B23" s="6" t="s">
        <v>24</v>
      </c>
      <c r="C23" s="6"/>
      <c r="D23" s="6"/>
      <c r="E23" s="6"/>
      <c r="F23" s="6"/>
    </row>
    <row r="24" customFormat="false" ht="15" hidden="false" customHeight="true" outlineLevel="0" collapsed="false">
      <c r="A24" s="7" t="s">
        <v>25</v>
      </c>
      <c r="B24" s="6" t="s">
        <v>26</v>
      </c>
      <c r="C24" s="6"/>
      <c r="D24" s="6"/>
      <c r="E24" s="6"/>
      <c r="F24" s="6"/>
    </row>
    <row r="25" customFormat="false" ht="15" hidden="false" customHeight="true" outlineLevel="0" collapsed="false">
      <c r="A25" s="7" t="s">
        <v>27</v>
      </c>
      <c r="B25" s="6" t="s">
        <v>28</v>
      </c>
      <c r="C25" s="6"/>
      <c r="D25" s="6"/>
      <c r="E25" s="6"/>
      <c r="F25" s="6"/>
    </row>
    <row r="26" customFormat="false" ht="15" hidden="false" customHeight="false" outlineLevel="0" collapsed="false">
      <c r="A26" s="8" t="s">
        <v>29</v>
      </c>
      <c r="B26" s="9" t="s">
        <v>30</v>
      </c>
    </row>
    <row r="28" customFormat="false" ht="15" hidden="false" customHeight="true" outlineLevel="0" collapsed="false">
      <c r="A28" s="3" t="s">
        <v>31</v>
      </c>
    </row>
    <row r="29" customFormat="false" ht="15" hidden="false" customHeight="true" outlineLevel="0" collapsed="false">
      <c r="A29" s="10"/>
      <c r="B29" s="11" t="s">
        <v>32</v>
      </c>
      <c r="C29" s="11"/>
      <c r="D29" s="11"/>
      <c r="E29" s="11"/>
      <c r="F29" s="11"/>
    </row>
    <row r="30" customFormat="false" ht="15" hidden="false" customHeight="true" outlineLevel="0" collapsed="false">
      <c r="A30" s="12"/>
      <c r="B30" s="11" t="s">
        <v>33</v>
      </c>
      <c r="C30" s="11"/>
      <c r="D30" s="11"/>
      <c r="E30" s="11"/>
      <c r="F30" s="11"/>
    </row>
    <row r="31" customFormat="false" ht="15" hidden="false" customHeight="true" outlineLevel="0" collapsed="false">
      <c r="A31" s="13"/>
      <c r="B31" s="11" t="s">
        <v>34</v>
      </c>
      <c r="C31" s="11"/>
      <c r="D31" s="11"/>
      <c r="E31" s="11"/>
      <c r="F31" s="11"/>
    </row>
    <row r="32" customFormat="false" ht="15" hidden="false" customHeight="true" outlineLevel="0" collapsed="false">
      <c r="A32" s="14"/>
      <c r="B32" s="11" t="s">
        <v>35</v>
      </c>
      <c r="C32" s="11"/>
      <c r="D32" s="11"/>
      <c r="E32" s="11"/>
      <c r="F32" s="11"/>
    </row>
    <row r="33" customFormat="false" ht="15" hidden="false" customHeight="true" outlineLevel="0" collapsed="false">
      <c r="A33" s="15"/>
      <c r="B33" s="11" t="s">
        <v>36</v>
      </c>
      <c r="C33" s="11"/>
      <c r="D33" s="11"/>
      <c r="E33" s="11"/>
      <c r="F33" s="11"/>
    </row>
    <row r="34" customFormat="false" ht="15" hidden="false" customHeight="true" outlineLevel="0" collapsed="false">
      <c r="A34" s="16"/>
      <c r="B34" s="11" t="s">
        <v>37</v>
      </c>
      <c r="C34" s="11"/>
      <c r="D34" s="11"/>
      <c r="E34" s="11"/>
      <c r="F34" s="11"/>
    </row>
    <row r="35" customFormat="false" ht="15" hidden="false" customHeight="true" outlineLevel="0" collapsed="false">
      <c r="A35" s="17"/>
      <c r="B35" s="11" t="s">
        <v>38</v>
      </c>
      <c r="C35" s="11"/>
      <c r="D35" s="11"/>
      <c r="E35" s="11"/>
      <c r="F35" s="11"/>
    </row>
    <row r="36" customFormat="false" ht="15" hidden="false" customHeight="true" outlineLevel="0" collapsed="false">
      <c r="A36" s="18"/>
      <c r="B36" s="11" t="s">
        <v>39</v>
      </c>
      <c r="C36" s="11"/>
      <c r="D36" s="11"/>
      <c r="E36" s="11"/>
      <c r="F36" s="11"/>
    </row>
  </sheetData>
  <mergeCells count="24">
    <mergeCell ref="A1:F1"/>
    <mergeCell ref="A4:F7"/>
    <mergeCell ref="B10:F10"/>
    <mergeCell ref="B11:F11"/>
    <mergeCell ref="B12:F12"/>
    <mergeCell ref="B13:F13"/>
    <mergeCell ref="B14:F14"/>
    <mergeCell ref="B17:F17"/>
    <mergeCell ref="B18:F18"/>
    <mergeCell ref="B19:F19"/>
    <mergeCell ref="B20:F20"/>
    <mergeCell ref="B21:F21"/>
    <mergeCell ref="B22:F22"/>
    <mergeCell ref="B23:F23"/>
    <mergeCell ref="B24:F24"/>
    <mergeCell ref="B25:F25"/>
    <mergeCell ref="B29:F29"/>
    <mergeCell ref="B30:F30"/>
    <mergeCell ref="B31:F31"/>
    <mergeCell ref="B32:F32"/>
    <mergeCell ref="B33:F33"/>
    <mergeCell ref="B34:F34"/>
    <mergeCell ref="B35:F35"/>
    <mergeCell ref="B36:F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1"/>
    <col collapsed="false" customWidth="true" hidden="false" outlineLevel="0" max="3" min="3" style="1" width="14"/>
    <col collapsed="false" customWidth="true" hidden="false" outlineLevel="0" max="4" min="4" style="1" width="22"/>
    <col collapsed="false" customWidth="true" hidden="false" outlineLevel="0" max="5" min="5" style="1" width="38"/>
    <col collapsed="false" customWidth="true" hidden="false" outlineLevel="0" max="6" min="6" style="1" width="25"/>
    <col collapsed="false" customWidth="true" hidden="false" outlineLevel="0" max="7" min="7" style="1" width="16"/>
  </cols>
  <sheetData>
    <row r="1" customFormat="false" ht="24" hidden="false" customHeight="true" outlineLevel="0" collapsed="false">
      <c r="A1" s="2" t="s">
        <v>40</v>
      </c>
      <c r="B1" s="2"/>
      <c r="C1" s="2"/>
      <c r="D1" s="2"/>
      <c r="E1" s="2"/>
      <c r="F1" s="2"/>
      <c r="G1" s="2"/>
    </row>
    <row r="2" customFormat="false" ht="15" hidden="false" customHeight="true" outlineLevel="0" collapsed="false">
      <c r="A2" s="19" t="s">
        <v>41</v>
      </c>
      <c r="B2" s="19"/>
      <c r="C2" s="19"/>
      <c r="D2" s="19"/>
      <c r="E2" s="19"/>
      <c r="F2" s="19"/>
      <c r="G2" s="19"/>
    </row>
    <row r="4" customFormat="false" ht="19.5" hidden="false" customHeight="true" outlineLevel="0" collapsed="false">
      <c r="A4" s="20" t="s">
        <v>42</v>
      </c>
      <c r="B4" s="20"/>
      <c r="C4" s="20"/>
      <c r="D4" s="20"/>
      <c r="E4" s="20"/>
      <c r="F4" s="20"/>
      <c r="G4" s="20"/>
    </row>
    <row r="5" customFormat="false" ht="31.5" hidden="false" customHeight="true" outlineLevel="0" collapsed="false">
      <c r="A5" s="21" t="s">
        <v>43</v>
      </c>
      <c r="B5" s="21" t="s">
        <v>44</v>
      </c>
      <c r="C5" s="21" t="s">
        <v>45</v>
      </c>
      <c r="D5" s="21" t="s">
        <v>46</v>
      </c>
      <c r="E5" s="21" t="s">
        <v>47</v>
      </c>
      <c r="F5" s="21" t="s">
        <v>48</v>
      </c>
      <c r="G5" s="21" t="s">
        <v>49</v>
      </c>
    </row>
    <row r="6" customFormat="false" ht="49.5" hidden="false" customHeight="true" outlineLevel="0" collapsed="false">
      <c r="A6" s="22" t="s">
        <v>50</v>
      </c>
      <c r="B6" s="23" t="s">
        <v>51</v>
      </c>
      <c r="C6" s="23" t="s">
        <v>52</v>
      </c>
      <c r="D6" s="23" t="s">
        <v>53</v>
      </c>
      <c r="E6" s="23" t="s">
        <v>54</v>
      </c>
      <c r="F6" s="23" t="s">
        <v>55</v>
      </c>
      <c r="G6" s="23" t="s">
        <v>56</v>
      </c>
    </row>
    <row r="7" customFormat="false" ht="49.5" hidden="false" customHeight="true" outlineLevel="0" collapsed="false">
      <c r="A7" s="22" t="s">
        <v>57</v>
      </c>
      <c r="B7" s="23" t="s">
        <v>51</v>
      </c>
      <c r="C7" s="23" t="s">
        <v>58</v>
      </c>
      <c r="D7" s="23" t="s">
        <v>59</v>
      </c>
      <c r="E7" s="23" t="s">
        <v>60</v>
      </c>
      <c r="F7" s="23" t="s">
        <v>61</v>
      </c>
      <c r="G7" s="23" t="s">
        <v>62</v>
      </c>
    </row>
    <row r="8" customFormat="false" ht="49.5" hidden="false" customHeight="true" outlineLevel="0" collapsed="false">
      <c r="A8" s="24" t="s">
        <v>63</v>
      </c>
      <c r="B8" s="25" t="s">
        <v>64</v>
      </c>
      <c r="C8" s="25" t="s">
        <v>65</v>
      </c>
      <c r="D8" s="25" t="s">
        <v>66</v>
      </c>
      <c r="E8" s="25" t="s">
        <v>67</v>
      </c>
      <c r="F8" s="25" t="s">
        <v>68</v>
      </c>
      <c r="G8" s="25" t="s">
        <v>69</v>
      </c>
    </row>
    <row r="9" customFormat="false" ht="49.5" hidden="false" customHeight="true" outlineLevel="0" collapsed="false">
      <c r="A9" s="24" t="s">
        <v>70</v>
      </c>
      <c r="B9" s="25" t="s">
        <v>64</v>
      </c>
      <c r="C9" s="25" t="s">
        <v>71</v>
      </c>
      <c r="D9" s="25" t="s">
        <v>66</v>
      </c>
      <c r="E9" s="25" t="s">
        <v>72</v>
      </c>
      <c r="F9" s="25" t="s">
        <v>73</v>
      </c>
      <c r="G9" s="25" t="s">
        <v>74</v>
      </c>
    </row>
    <row r="10" customFormat="false" ht="49.5" hidden="false" customHeight="true" outlineLevel="0" collapsed="false">
      <c r="A10" s="26" t="s">
        <v>75</v>
      </c>
      <c r="B10" s="27" t="s">
        <v>58</v>
      </c>
      <c r="C10" s="27" t="s">
        <v>76</v>
      </c>
      <c r="D10" s="27" t="s">
        <v>59</v>
      </c>
      <c r="E10" s="27" t="s">
        <v>77</v>
      </c>
      <c r="F10" s="27" t="s">
        <v>78</v>
      </c>
      <c r="G10" s="27" t="s">
        <v>79</v>
      </c>
    </row>
    <row r="13" customFormat="false" ht="19.5" hidden="false" customHeight="true" outlineLevel="0" collapsed="false">
      <c r="A13" s="20" t="s">
        <v>80</v>
      </c>
      <c r="B13" s="20"/>
      <c r="C13" s="20"/>
      <c r="D13" s="20"/>
      <c r="E13" s="20"/>
      <c r="F13" s="20"/>
      <c r="G13" s="20"/>
    </row>
    <row r="14" customFormat="false" ht="31.5" hidden="false" customHeight="true" outlineLevel="0" collapsed="false">
      <c r="A14" s="28" t="s">
        <v>81</v>
      </c>
      <c r="B14" s="29" t="s">
        <v>82</v>
      </c>
      <c r="C14" s="29"/>
      <c r="D14" s="29"/>
      <c r="E14" s="29"/>
      <c r="F14" s="29"/>
      <c r="G14" s="29"/>
    </row>
    <row r="15" customFormat="false" ht="31.5" hidden="false" customHeight="true" outlineLevel="0" collapsed="false">
      <c r="A15" s="28" t="s">
        <v>83</v>
      </c>
      <c r="B15" s="29" t="s">
        <v>84</v>
      </c>
      <c r="C15" s="29"/>
      <c r="D15" s="29"/>
      <c r="E15" s="29"/>
      <c r="F15" s="29"/>
      <c r="G15" s="29"/>
    </row>
    <row r="16" customFormat="false" ht="31.5" hidden="false" customHeight="true" outlineLevel="0" collapsed="false">
      <c r="A16" s="28" t="s">
        <v>85</v>
      </c>
      <c r="B16" s="29" t="s">
        <v>86</v>
      </c>
      <c r="C16" s="29"/>
      <c r="D16" s="29"/>
      <c r="E16" s="29"/>
      <c r="F16" s="29"/>
      <c r="G16" s="29"/>
    </row>
    <row r="17" customFormat="false" ht="31.5" hidden="false" customHeight="true" outlineLevel="0" collapsed="false">
      <c r="A17" s="28" t="s">
        <v>87</v>
      </c>
      <c r="B17" s="29" t="s">
        <v>88</v>
      </c>
      <c r="C17" s="29"/>
      <c r="D17" s="29"/>
      <c r="E17" s="29"/>
      <c r="F17" s="29"/>
      <c r="G17" s="29"/>
    </row>
    <row r="18" customFormat="false" ht="31.5" hidden="false" customHeight="true" outlineLevel="0" collapsed="false">
      <c r="A18" s="28" t="s">
        <v>89</v>
      </c>
      <c r="B18" s="29" t="s">
        <v>90</v>
      </c>
      <c r="C18" s="29"/>
      <c r="D18" s="29"/>
      <c r="E18" s="29"/>
      <c r="F18" s="29"/>
      <c r="G18" s="29"/>
    </row>
  </sheetData>
  <mergeCells count="9">
    <mergeCell ref="A1:G1"/>
    <mergeCell ref="A2:G2"/>
    <mergeCell ref="A4:G4"/>
    <mergeCell ref="A13:G13"/>
    <mergeCell ref="B14:G14"/>
    <mergeCell ref="B15:G15"/>
    <mergeCell ref="B16:G16"/>
    <mergeCell ref="B17:G17"/>
    <mergeCell ref="B18:G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3" min="2" style="1" width="32"/>
    <col collapsed="false" customWidth="true" hidden="false" outlineLevel="0" max="4" min="4" style="1" width="22"/>
  </cols>
  <sheetData>
    <row r="1" customFormat="false" ht="24" hidden="false" customHeight="true" outlineLevel="0" collapsed="false">
      <c r="A1" s="2" t="s">
        <v>91</v>
      </c>
      <c r="B1" s="2"/>
      <c r="C1" s="2"/>
      <c r="D1" s="2"/>
    </row>
    <row r="2" customFormat="false" ht="15" hidden="false" customHeight="true" outlineLevel="0" collapsed="false">
      <c r="A2" s="19" t="s">
        <v>92</v>
      </c>
      <c r="B2" s="19"/>
      <c r="C2" s="19"/>
      <c r="D2" s="19"/>
    </row>
    <row r="4" customFormat="false" ht="19.5" hidden="false" customHeight="true" outlineLevel="0" collapsed="false">
      <c r="A4" s="20" t="s">
        <v>93</v>
      </c>
      <c r="B4" s="20"/>
      <c r="C4" s="20"/>
      <c r="D4" s="20"/>
    </row>
    <row r="5" customFormat="false" ht="15" hidden="false" customHeight="true" outlineLevel="0" collapsed="false">
      <c r="A5" s="21" t="s">
        <v>94</v>
      </c>
      <c r="B5" s="21" t="s">
        <v>95</v>
      </c>
      <c r="C5" s="21" t="s">
        <v>96</v>
      </c>
      <c r="D5" s="21" t="s">
        <v>97</v>
      </c>
    </row>
    <row r="6" customFormat="false" ht="15" hidden="false" customHeight="true" outlineLevel="0" collapsed="false">
      <c r="A6" s="30" t="s">
        <v>98</v>
      </c>
      <c r="B6" s="31" t="n">
        <v>60</v>
      </c>
      <c r="C6" s="31" t="s">
        <v>99</v>
      </c>
      <c r="D6" s="30" t="s">
        <v>100</v>
      </c>
    </row>
    <row r="7" customFormat="false" ht="15" hidden="false" customHeight="true" outlineLevel="0" collapsed="false">
      <c r="A7" s="32" t="s">
        <v>101</v>
      </c>
      <c r="B7" s="33" t="n">
        <v>80</v>
      </c>
      <c r="C7" s="33" t="s">
        <v>99</v>
      </c>
      <c r="D7" s="32" t="s">
        <v>100</v>
      </c>
    </row>
    <row r="8" customFormat="false" ht="15" hidden="false" customHeight="true" outlineLevel="0" collapsed="false">
      <c r="A8" s="34" t="s">
        <v>102</v>
      </c>
      <c r="B8" s="35" t="n">
        <v>10</v>
      </c>
      <c r="C8" s="35" t="s">
        <v>99</v>
      </c>
      <c r="D8" s="34" t="s">
        <v>100</v>
      </c>
    </row>
    <row r="9" customFormat="false" ht="15" hidden="false" customHeight="true" outlineLevel="0" collapsed="false">
      <c r="A9" s="34" t="s">
        <v>103</v>
      </c>
      <c r="B9" s="35" t="n">
        <v>10</v>
      </c>
      <c r="C9" s="35" t="s">
        <v>99</v>
      </c>
      <c r="D9" s="34" t="s">
        <v>100</v>
      </c>
    </row>
    <row r="10" customFormat="false" ht="15" hidden="false" customHeight="true" outlineLevel="0" collapsed="false">
      <c r="A10" s="34" t="s">
        <v>104</v>
      </c>
      <c r="B10" s="35" t="n">
        <v>10</v>
      </c>
      <c r="C10" s="35" t="s">
        <v>99</v>
      </c>
      <c r="D10" s="34" t="s">
        <v>100</v>
      </c>
    </row>
    <row r="11" customFormat="false" ht="23.25" hidden="false" customHeight="true" outlineLevel="0" collapsed="false">
      <c r="A11" s="36" t="s">
        <v>105</v>
      </c>
      <c r="B11" s="37" t="n">
        <v>170</v>
      </c>
      <c r="C11" s="37" t="s">
        <v>106</v>
      </c>
      <c r="D11" s="36" t="s">
        <v>107</v>
      </c>
    </row>
    <row r="12" customFormat="false" ht="34.5" hidden="false" customHeight="true" outlineLevel="0" collapsed="false">
      <c r="A12" s="38" t="s">
        <v>108</v>
      </c>
      <c r="B12" s="39" t="n">
        <v>50</v>
      </c>
      <c r="C12" s="39" t="s">
        <v>109</v>
      </c>
      <c r="D12" s="38" t="s">
        <v>110</v>
      </c>
    </row>
    <row r="13" customFormat="false" ht="23.25" hidden="false" customHeight="true" outlineLevel="0" collapsed="false">
      <c r="A13" s="40" t="s">
        <v>111</v>
      </c>
      <c r="B13" s="41" t="n">
        <v>220</v>
      </c>
      <c r="C13" s="41" t="s">
        <v>112</v>
      </c>
      <c r="D13" s="40" t="s">
        <v>113</v>
      </c>
    </row>
    <row r="16" customFormat="false" ht="19.5" hidden="false" customHeight="true" outlineLevel="0" collapsed="false">
      <c r="A16" s="20" t="s">
        <v>114</v>
      </c>
      <c r="B16" s="20"/>
      <c r="C16" s="20"/>
      <c r="D16" s="20"/>
    </row>
    <row r="17" customFormat="false" ht="15" hidden="false" customHeight="true" outlineLevel="0" collapsed="false">
      <c r="A17" s="42" t="s">
        <v>115</v>
      </c>
      <c r="B17" s="42"/>
      <c r="C17" s="42"/>
      <c r="D17" s="42"/>
    </row>
    <row r="18" customFormat="false" ht="15" hidden="false" customHeight="true" outlineLevel="0" collapsed="false">
      <c r="A18" s="42"/>
      <c r="B18" s="42"/>
      <c r="C18" s="42"/>
      <c r="D18" s="42"/>
    </row>
    <row r="20" customFormat="false" ht="15" hidden="false" customHeight="true" outlineLevel="0" collapsed="false">
      <c r="A20" s="21"/>
      <c r="B20" s="21" t="s">
        <v>116</v>
      </c>
      <c r="C20" s="21" t="s">
        <v>117</v>
      </c>
      <c r="D20" s="21" t="s">
        <v>118</v>
      </c>
    </row>
    <row r="21" customFormat="false" ht="15" hidden="false" customHeight="true" outlineLevel="0" collapsed="false">
      <c r="A21" s="43" t="s">
        <v>119</v>
      </c>
      <c r="B21" s="44" t="s">
        <v>120</v>
      </c>
      <c r="C21" s="45" t="s">
        <v>120</v>
      </c>
      <c r="D21" s="46" t="s">
        <v>121</v>
      </c>
    </row>
    <row r="22" customFormat="false" ht="15" hidden="false" customHeight="true" outlineLevel="0" collapsed="false">
      <c r="A22" s="47" t="s">
        <v>122</v>
      </c>
      <c r="B22" s="44" t="s">
        <v>123</v>
      </c>
      <c r="C22" s="45" t="s">
        <v>123</v>
      </c>
      <c r="D22" s="48" t="s">
        <v>121</v>
      </c>
    </row>
    <row r="23" customFormat="false" ht="15" hidden="false" customHeight="true" outlineLevel="0" collapsed="false">
      <c r="A23" s="49" t="s">
        <v>124</v>
      </c>
      <c r="B23" s="44" t="s">
        <v>125</v>
      </c>
      <c r="C23" s="45" t="s">
        <v>125</v>
      </c>
      <c r="D23" s="50" t="s">
        <v>121</v>
      </c>
    </row>
    <row r="24" customFormat="false" ht="15" hidden="false" customHeight="true" outlineLevel="0" collapsed="false">
      <c r="A24" s="49" t="s">
        <v>126</v>
      </c>
      <c r="B24" s="44" t="s">
        <v>127</v>
      </c>
      <c r="C24" s="45" t="s">
        <v>127</v>
      </c>
      <c r="D24" s="50" t="s">
        <v>121</v>
      </c>
    </row>
    <row r="25" customFormat="false" ht="15" hidden="false" customHeight="true" outlineLevel="0" collapsed="false">
      <c r="A25" s="49" t="s">
        <v>128</v>
      </c>
      <c r="B25" s="44" t="s">
        <v>129</v>
      </c>
      <c r="C25" s="45" t="s">
        <v>129</v>
      </c>
      <c r="D25" s="50" t="s">
        <v>121</v>
      </c>
    </row>
    <row r="26" customFormat="false" ht="15" hidden="false" customHeight="true" outlineLevel="0" collapsed="false">
      <c r="A26" s="51" t="s">
        <v>130</v>
      </c>
      <c r="B26" s="44" t="s">
        <v>131</v>
      </c>
      <c r="C26" s="45" t="s">
        <v>132</v>
      </c>
      <c r="D26" s="52" t="s">
        <v>133</v>
      </c>
    </row>
    <row r="27" customFormat="false" ht="15" hidden="false" customHeight="true" outlineLevel="0" collapsed="false">
      <c r="A27" s="40" t="s">
        <v>134</v>
      </c>
      <c r="B27" s="40" t="s">
        <v>135</v>
      </c>
      <c r="C27" s="40" t="s">
        <v>135</v>
      </c>
      <c r="D27" s="41" t="s">
        <v>136</v>
      </c>
    </row>
    <row r="30" customFormat="false" ht="19.5" hidden="false" customHeight="true" outlineLevel="0" collapsed="false">
      <c r="A30" s="20" t="s">
        <v>137</v>
      </c>
      <c r="B30" s="20"/>
      <c r="C30" s="20"/>
      <c r="D30" s="20"/>
    </row>
    <row r="31" customFormat="false" ht="23.25" hidden="false" customHeight="true" outlineLevel="0" collapsed="false">
      <c r="A31" s="5" t="s">
        <v>4</v>
      </c>
      <c r="B31" s="6" t="s">
        <v>138</v>
      </c>
      <c r="C31" s="6"/>
      <c r="D31" s="6"/>
    </row>
    <row r="32" customFormat="false" ht="23.25" hidden="false" customHeight="true" outlineLevel="0" collapsed="false">
      <c r="A32" s="5" t="s">
        <v>4</v>
      </c>
      <c r="B32" s="6" t="s">
        <v>139</v>
      </c>
      <c r="C32" s="6"/>
      <c r="D32" s="6"/>
    </row>
    <row r="33" customFormat="false" ht="15" hidden="false" customHeight="true" outlineLevel="0" collapsed="false">
      <c r="A33" s="5" t="s">
        <v>4</v>
      </c>
      <c r="B33" s="6" t="s">
        <v>140</v>
      </c>
      <c r="C33" s="6"/>
      <c r="D33" s="6"/>
    </row>
    <row r="34" customFormat="false" ht="23.25" hidden="false" customHeight="true" outlineLevel="0" collapsed="false">
      <c r="A34" s="5" t="s">
        <v>4</v>
      </c>
      <c r="B34" s="6" t="s">
        <v>141</v>
      </c>
      <c r="C34" s="6"/>
      <c r="D34" s="6"/>
    </row>
  </sheetData>
  <mergeCells count="10">
    <mergeCell ref="A1:D1"/>
    <mergeCell ref="A2:D2"/>
    <mergeCell ref="A4:D4"/>
    <mergeCell ref="A16:D16"/>
    <mergeCell ref="A17:D18"/>
    <mergeCell ref="A30:D30"/>
    <mergeCell ref="B31:D31"/>
    <mergeCell ref="B32:D32"/>
    <mergeCell ref="B33:D33"/>
    <mergeCell ref="B34:D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2"/>
    <col collapsed="false" customWidth="true" hidden="false" outlineLevel="0" max="53" min="3" style="1" width="6"/>
  </cols>
  <sheetData>
    <row r="1" customFormat="false" ht="24" hidden="false" customHeight="true" outlineLevel="0" collapsed="false">
      <c r="A1" s="2" t="s">
        <v>142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2" customFormat="false" ht="15" hidden="false" customHeight="true" outlineLevel="0" collapsed="false">
      <c r="A2" s="19" t="s">
        <v>143</v>
      </c>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row>
    <row r="3" customFormat="false" ht="15" hidden="false" customHeight="true" outlineLevel="0" collapsed="false">
      <c r="A3" s="53"/>
      <c r="B3" s="53"/>
      <c r="C3" s="54" t="s">
        <v>144</v>
      </c>
      <c r="D3" s="54"/>
      <c r="E3" s="54"/>
      <c r="F3" s="54"/>
      <c r="G3" s="54"/>
      <c r="H3" s="54"/>
      <c r="I3" s="54"/>
      <c r="J3" s="54"/>
      <c r="K3" s="54"/>
      <c r="L3" s="54"/>
      <c r="M3" s="54"/>
      <c r="N3" s="54"/>
      <c r="O3" s="54"/>
      <c r="P3" s="55" t="s">
        <v>145</v>
      </c>
      <c r="Q3" s="55"/>
      <c r="R3" s="55"/>
      <c r="S3" s="55"/>
      <c r="T3" s="55"/>
      <c r="U3" s="55"/>
      <c r="V3" s="55"/>
      <c r="W3" s="55"/>
      <c r="X3" s="55"/>
      <c r="Y3" s="55"/>
      <c r="Z3" s="55"/>
      <c r="AA3" s="55"/>
      <c r="AB3" s="55"/>
      <c r="AC3" s="55"/>
      <c r="AD3" s="55"/>
      <c r="AE3" s="55"/>
      <c r="AF3" s="55"/>
      <c r="AG3" s="55"/>
      <c r="AH3" s="55"/>
      <c r="AI3" s="55"/>
      <c r="AJ3" s="56" t="s">
        <v>146</v>
      </c>
      <c r="AK3" s="56"/>
      <c r="AL3" s="56"/>
      <c r="AM3" s="56"/>
      <c r="AN3" s="56"/>
      <c r="AO3" s="56"/>
      <c r="AP3" s="56"/>
      <c r="AQ3" s="56"/>
      <c r="AR3" s="56"/>
      <c r="AS3" s="56"/>
      <c r="AT3" s="56"/>
      <c r="AU3" s="56"/>
      <c r="AV3" s="56"/>
      <c r="AW3" s="56"/>
      <c r="AX3" s="56"/>
      <c r="AY3" s="56"/>
      <c r="AZ3" s="56"/>
      <c r="BA3" s="56"/>
    </row>
    <row r="4" customFormat="false" ht="60" hidden="false" customHeight="true" outlineLevel="0" collapsed="false">
      <c r="A4" s="57" t="s">
        <v>147</v>
      </c>
      <c r="B4" s="57" t="s">
        <v>148</v>
      </c>
      <c r="C4" s="58" t="s">
        <v>149</v>
      </c>
      <c r="D4" s="58" t="s">
        <v>150</v>
      </c>
      <c r="E4" s="58" t="s">
        <v>151</v>
      </c>
      <c r="F4" s="58" t="s">
        <v>152</v>
      </c>
      <c r="G4" s="58" t="s">
        <v>153</v>
      </c>
      <c r="H4" s="58" t="s">
        <v>154</v>
      </c>
      <c r="I4" s="58" t="s">
        <v>155</v>
      </c>
      <c r="J4" s="58" t="s">
        <v>156</v>
      </c>
      <c r="K4" s="58" t="s">
        <v>157</v>
      </c>
      <c r="L4" s="58" t="s">
        <v>158</v>
      </c>
      <c r="M4" s="58" t="s">
        <v>159</v>
      </c>
      <c r="N4" s="58" t="s">
        <v>160</v>
      </c>
      <c r="O4" s="58" t="s">
        <v>161</v>
      </c>
      <c r="P4" s="59" t="s">
        <v>162</v>
      </c>
      <c r="Q4" s="59" t="s">
        <v>163</v>
      </c>
      <c r="R4" s="59" t="s">
        <v>164</v>
      </c>
      <c r="S4" s="59" t="s">
        <v>165</v>
      </c>
      <c r="T4" s="59" t="s">
        <v>166</v>
      </c>
      <c r="U4" s="59" t="s">
        <v>167</v>
      </c>
      <c r="V4" s="59" t="s">
        <v>168</v>
      </c>
      <c r="W4" s="59" t="s">
        <v>169</v>
      </c>
      <c r="X4" s="59" t="s">
        <v>170</v>
      </c>
      <c r="Y4" s="59" t="s">
        <v>171</v>
      </c>
      <c r="Z4" s="59" t="s">
        <v>172</v>
      </c>
      <c r="AA4" s="59" t="s">
        <v>173</v>
      </c>
      <c r="AB4" s="59" t="s">
        <v>174</v>
      </c>
      <c r="AC4" s="59" t="s">
        <v>175</v>
      </c>
      <c r="AD4" s="59" t="s">
        <v>176</v>
      </c>
      <c r="AE4" s="59" t="s">
        <v>177</v>
      </c>
      <c r="AF4" s="59" t="s">
        <v>178</v>
      </c>
      <c r="AG4" s="59" t="s">
        <v>179</v>
      </c>
      <c r="AH4" s="59" t="s">
        <v>180</v>
      </c>
      <c r="AI4" s="59" t="s">
        <v>181</v>
      </c>
      <c r="AJ4" s="60" t="s">
        <v>182</v>
      </c>
      <c r="AK4" s="60" t="s">
        <v>183</v>
      </c>
      <c r="AL4" s="60" t="s">
        <v>184</v>
      </c>
      <c r="AM4" s="60" t="s">
        <v>185</v>
      </c>
      <c r="AN4" s="60" t="s">
        <v>186</v>
      </c>
      <c r="AO4" s="60" t="s">
        <v>187</v>
      </c>
      <c r="AP4" s="60" t="s">
        <v>188</v>
      </c>
      <c r="AQ4" s="60" t="s">
        <v>189</v>
      </c>
      <c r="AR4" s="60" t="s">
        <v>190</v>
      </c>
      <c r="AS4" s="60" t="s">
        <v>191</v>
      </c>
      <c r="AT4" s="60" t="s">
        <v>192</v>
      </c>
      <c r="AU4" s="60" t="s">
        <v>193</v>
      </c>
      <c r="AV4" s="60" t="s">
        <v>194</v>
      </c>
      <c r="AW4" s="60" t="s">
        <v>195</v>
      </c>
      <c r="AX4" s="60" t="s">
        <v>196</v>
      </c>
      <c r="AY4" s="60" t="s">
        <v>197</v>
      </c>
      <c r="AZ4" s="60" t="s">
        <v>198</v>
      </c>
      <c r="BA4" s="60" t="s">
        <v>199</v>
      </c>
    </row>
    <row r="5" customFormat="false" ht="15" hidden="false" customHeight="true" outlineLevel="0" collapsed="false">
      <c r="A5" s="61" t="s">
        <v>200</v>
      </c>
      <c r="B5" s="62" t="s">
        <v>201</v>
      </c>
      <c r="C5" s="63" t="s">
        <v>202</v>
      </c>
      <c r="D5" s="63" t="s">
        <v>202</v>
      </c>
      <c r="E5" s="63" t="s">
        <v>202</v>
      </c>
      <c r="F5" s="63" t="s">
        <v>202</v>
      </c>
      <c r="G5" s="63" t="s">
        <v>202</v>
      </c>
      <c r="H5" s="63" t="s">
        <v>202</v>
      </c>
      <c r="I5" s="63" t="s">
        <v>202</v>
      </c>
      <c r="J5" s="63" t="s">
        <v>202</v>
      </c>
      <c r="K5" s="63" t="s">
        <v>202</v>
      </c>
      <c r="L5" s="63" t="s">
        <v>202</v>
      </c>
      <c r="M5" s="63" t="s">
        <v>202</v>
      </c>
      <c r="N5" s="63" t="s">
        <v>202</v>
      </c>
      <c r="O5" s="63" t="s">
        <v>202</v>
      </c>
      <c r="P5" s="64" t="s">
        <v>203</v>
      </c>
      <c r="Q5" s="64" t="s">
        <v>203</v>
      </c>
      <c r="R5" s="64" t="s">
        <v>203</v>
      </c>
      <c r="S5" s="64" t="s">
        <v>203</v>
      </c>
      <c r="T5" s="64" t="s">
        <v>203</v>
      </c>
      <c r="U5" s="64" t="s">
        <v>203</v>
      </c>
      <c r="V5" s="64" t="s">
        <v>203</v>
      </c>
      <c r="W5" s="64" t="s">
        <v>203</v>
      </c>
      <c r="X5" s="64" t="s">
        <v>203</v>
      </c>
      <c r="Y5" s="64" t="s">
        <v>203</v>
      </c>
      <c r="Z5" s="64" t="s">
        <v>203</v>
      </c>
      <c r="AA5" s="64" t="s">
        <v>203</v>
      </c>
      <c r="AB5" s="64" t="s">
        <v>203</v>
      </c>
      <c r="AC5" s="64" t="s">
        <v>203</v>
      </c>
      <c r="AD5" s="64" t="s">
        <v>203</v>
      </c>
      <c r="AE5" s="64" t="s">
        <v>203</v>
      </c>
      <c r="AF5" s="64" t="s">
        <v>203</v>
      </c>
      <c r="AG5" s="64" t="s">
        <v>203</v>
      </c>
      <c r="AH5" s="64" t="s">
        <v>203</v>
      </c>
      <c r="AI5" s="64" t="s">
        <v>203</v>
      </c>
      <c r="AJ5" s="65" t="s">
        <v>204</v>
      </c>
      <c r="AK5" s="65" t="s">
        <v>204</v>
      </c>
      <c r="AL5" s="65" t="s">
        <v>204</v>
      </c>
      <c r="AM5" s="65" t="s">
        <v>204</v>
      </c>
      <c r="AN5" s="65" t="s">
        <v>204</v>
      </c>
      <c r="AO5" s="65" t="s">
        <v>204</v>
      </c>
      <c r="AP5" s="65" t="s">
        <v>204</v>
      </c>
      <c r="AQ5" s="65" t="s">
        <v>204</v>
      </c>
      <c r="AR5" s="65" t="s">
        <v>204</v>
      </c>
      <c r="AS5" s="65" t="s">
        <v>204</v>
      </c>
      <c r="AT5" s="65" t="s">
        <v>204</v>
      </c>
      <c r="AU5" s="65" t="s">
        <v>204</v>
      </c>
      <c r="AV5" s="65" t="s">
        <v>204</v>
      </c>
      <c r="AW5" s="65" t="s">
        <v>204</v>
      </c>
      <c r="AX5" s="65" t="s">
        <v>204</v>
      </c>
      <c r="AY5" s="65" t="s">
        <v>204</v>
      </c>
      <c r="AZ5" s="65" t="s">
        <v>204</v>
      </c>
      <c r="BA5" s="65" t="s">
        <v>204</v>
      </c>
    </row>
    <row r="6" customFormat="false" ht="15" hidden="false" customHeight="true" outlineLevel="0" collapsed="false">
      <c r="A6" s="61" t="s">
        <v>205</v>
      </c>
      <c r="B6" s="62" t="s">
        <v>206</v>
      </c>
      <c r="C6" s="63" t="s">
        <v>202</v>
      </c>
      <c r="D6" s="63" t="s">
        <v>202</v>
      </c>
      <c r="E6" s="63" t="s">
        <v>202</v>
      </c>
      <c r="F6" s="63" t="s">
        <v>202</v>
      </c>
      <c r="G6" s="63" t="s">
        <v>202</v>
      </c>
      <c r="H6" s="63" t="s">
        <v>202</v>
      </c>
      <c r="I6" s="63" t="s">
        <v>202</v>
      </c>
      <c r="J6" s="63" t="s">
        <v>202</v>
      </c>
      <c r="K6" s="63" t="s">
        <v>202</v>
      </c>
      <c r="L6" s="63" t="s">
        <v>202</v>
      </c>
      <c r="M6" s="63" t="s">
        <v>202</v>
      </c>
      <c r="N6" s="63" t="s">
        <v>202</v>
      </c>
      <c r="O6" s="63" t="s">
        <v>202</v>
      </c>
      <c r="P6" s="64" t="s">
        <v>203</v>
      </c>
      <c r="Q6" s="64" t="s">
        <v>203</v>
      </c>
      <c r="R6" s="64" t="s">
        <v>203</v>
      </c>
      <c r="S6" s="64" t="s">
        <v>203</v>
      </c>
      <c r="T6" s="64" t="s">
        <v>203</v>
      </c>
      <c r="U6" s="64" t="s">
        <v>203</v>
      </c>
      <c r="V6" s="64" t="s">
        <v>203</v>
      </c>
      <c r="W6" s="64" t="s">
        <v>203</v>
      </c>
      <c r="X6" s="64" t="s">
        <v>203</v>
      </c>
      <c r="Y6" s="64" t="s">
        <v>203</v>
      </c>
      <c r="Z6" s="64" t="s">
        <v>203</v>
      </c>
      <c r="AA6" s="64" t="s">
        <v>203</v>
      </c>
      <c r="AB6" s="64" t="s">
        <v>203</v>
      </c>
      <c r="AC6" s="64" t="s">
        <v>203</v>
      </c>
      <c r="AD6" s="64" t="s">
        <v>203</v>
      </c>
      <c r="AE6" s="64" t="s">
        <v>203</v>
      </c>
      <c r="AF6" s="64" t="s">
        <v>203</v>
      </c>
      <c r="AG6" s="64" t="s">
        <v>203</v>
      </c>
      <c r="AH6" s="64" t="s">
        <v>203</v>
      </c>
      <c r="AI6" s="64" t="s">
        <v>203</v>
      </c>
      <c r="AJ6" s="65" t="s">
        <v>204</v>
      </c>
      <c r="AK6" s="65" t="s">
        <v>204</v>
      </c>
      <c r="AL6" s="65" t="s">
        <v>204</v>
      </c>
      <c r="AM6" s="65" t="s">
        <v>204</v>
      </c>
      <c r="AN6" s="65" t="s">
        <v>204</v>
      </c>
      <c r="AO6" s="65" t="s">
        <v>204</v>
      </c>
      <c r="AP6" s="65" t="s">
        <v>204</v>
      </c>
      <c r="AQ6" s="65" t="s">
        <v>204</v>
      </c>
      <c r="AR6" s="65" t="s">
        <v>204</v>
      </c>
      <c r="AS6" s="65" t="s">
        <v>204</v>
      </c>
      <c r="AT6" s="65" t="s">
        <v>204</v>
      </c>
      <c r="AU6" s="65" t="s">
        <v>204</v>
      </c>
      <c r="AV6" s="65" t="s">
        <v>204</v>
      </c>
      <c r="AW6" s="65" t="s">
        <v>204</v>
      </c>
      <c r="AX6" s="65" t="s">
        <v>204</v>
      </c>
      <c r="AY6" s="65" t="s">
        <v>204</v>
      </c>
      <c r="AZ6" s="65" t="s">
        <v>204</v>
      </c>
      <c r="BA6" s="65" t="s">
        <v>204</v>
      </c>
    </row>
    <row r="7" customFormat="false" ht="15" hidden="false" customHeight="true" outlineLevel="0" collapsed="false">
      <c r="A7" s="61" t="s">
        <v>207</v>
      </c>
      <c r="B7" s="62" t="s">
        <v>208</v>
      </c>
      <c r="C7" s="63" t="s">
        <v>202</v>
      </c>
      <c r="D7" s="63" t="s">
        <v>202</v>
      </c>
      <c r="E7" s="63" t="s">
        <v>202</v>
      </c>
      <c r="F7" s="63" t="s">
        <v>202</v>
      </c>
      <c r="G7" s="63" t="s">
        <v>202</v>
      </c>
      <c r="H7" s="63" t="s">
        <v>202</v>
      </c>
      <c r="I7" s="63" t="s">
        <v>202</v>
      </c>
      <c r="J7" s="63" t="s">
        <v>202</v>
      </c>
      <c r="K7" s="63" t="s">
        <v>202</v>
      </c>
      <c r="L7" s="63" t="s">
        <v>202</v>
      </c>
      <c r="M7" s="63" t="s">
        <v>202</v>
      </c>
      <c r="N7" s="63" t="s">
        <v>202</v>
      </c>
      <c r="O7" s="63" t="s">
        <v>202</v>
      </c>
      <c r="P7" s="64" t="s">
        <v>203</v>
      </c>
      <c r="Q7" s="64" t="s">
        <v>203</v>
      </c>
      <c r="R7" s="64" t="s">
        <v>203</v>
      </c>
      <c r="S7" s="64" t="s">
        <v>203</v>
      </c>
      <c r="T7" s="64" t="s">
        <v>203</v>
      </c>
      <c r="U7" s="64" t="s">
        <v>203</v>
      </c>
      <c r="V7" s="64" t="s">
        <v>203</v>
      </c>
      <c r="W7" s="64" t="s">
        <v>203</v>
      </c>
      <c r="X7" s="64" t="s">
        <v>203</v>
      </c>
      <c r="Y7" s="64" t="s">
        <v>203</v>
      </c>
      <c r="Z7" s="64" t="s">
        <v>203</v>
      </c>
      <c r="AA7" s="64" t="s">
        <v>203</v>
      </c>
      <c r="AB7" s="64" t="s">
        <v>203</v>
      </c>
      <c r="AC7" s="64" t="s">
        <v>203</v>
      </c>
      <c r="AD7" s="64" t="s">
        <v>203</v>
      </c>
      <c r="AE7" s="64" t="s">
        <v>203</v>
      </c>
      <c r="AF7" s="64" t="s">
        <v>203</v>
      </c>
      <c r="AG7" s="64" t="s">
        <v>203</v>
      </c>
      <c r="AH7" s="64" t="s">
        <v>203</v>
      </c>
      <c r="AI7" s="64" t="s">
        <v>203</v>
      </c>
      <c r="AJ7" s="65" t="s">
        <v>204</v>
      </c>
      <c r="AK7" s="65" t="s">
        <v>204</v>
      </c>
      <c r="AL7" s="65" t="s">
        <v>204</v>
      </c>
      <c r="AM7" s="65" t="s">
        <v>204</v>
      </c>
      <c r="AN7" s="65" t="s">
        <v>204</v>
      </c>
      <c r="AO7" s="65" t="s">
        <v>204</v>
      </c>
      <c r="AP7" s="65" t="s">
        <v>204</v>
      </c>
      <c r="AQ7" s="65" t="s">
        <v>204</v>
      </c>
      <c r="AR7" s="65" t="s">
        <v>204</v>
      </c>
      <c r="AS7" s="65" t="s">
        <v>204</v>
      </c>
      <c r="AT7" s="65" t="s">
        <v>204</v>
      </c>
      <c r="AU7" s="65" t="s">
        <v>204</v>
      </c>
      <c r="AV7" s="65" t="s">
        <v>204</v>
      </c>
      <c r="AW7" s="65" t="s">
        <v>204</v>
      </c>
      <c r="AX7" s="65" t="s">
        <v>204</v>
      </c>
      <c r="AY7" s="65" t="s">
        <v>204</v>
      </c>
      <c r="AZ7" s="65" t="s">
        <v>204</v>
      </c>
      <c r="BA7" s="65" t="s">
        <v>204</v>
      </c>
    </row>
    <row r="8" customFormat="false" ht="15" hidden="false" customHeight="true" outlineLevel="0" collapsed="false">
      <c r="A8" s="61" t="s">
        <v>209</v>
      </c>
      <c r="B8" s="62" t="s">
        <v>210</v>
      </c>
      <c r="C8" s="63" t="s">
        <v>202</v>
      </c>
      <c r="D8" s="63" t="s">
        <v>202</v>
      </c>
      <c r="E8" s="63" t="s">
        <v>202</v>
      </c>
      <c r="F8" s="63" t="s">
        <v>202</v>
      </c>
      <c r="G8" s="63" t="s">
        <v>202</v>
      </c>
      <c r="H8" s="63" t="s">
        <v>202</v>
      </c>
      <c r="I8" s="63" t="s">
        <v>202</v>
      </c>
      <c r="J8" s="63" t="s">
        <v>202</v>
      </c>
      <c r="K8" s="63" t="s">
        <v>202</v>
      </c>
      <c r="L8" s="63" t="s">
        <v>202</v>
      </c>
      <c r="M8" s="63" t="s">
        <v>202</v>
      </c>
      <c r="N8" s="63" t="s">
        <v>202</v>
      </c>
      <c r="O8" s="63" t="s">
        <v>202</v>
      </c>
      <c r="P8" s="64" t="s">
        <v>203</v>
      </c>
      <c r="Q8" s="64" t="s">
        <v>203</v>
      </c>
      <c r="R8" s="64" t="s">
        <v>203</v>
      </c>
      <c r="S8" s="64" t="s">
        <v>203</v>
      </c>
      <c r="T8" s="64" t="s">
        <v>203</v>
      </c>
      <c r="U8" s="64" t="s">
        <v>203</v>
      </c>
      <c r="V8" s="64" t="s">
        <v>203</v>
      </c>
      <c r="W8" s="64" t="s">
        <v>203</v>
      </c>
      <c r="X8" s="64" t="s">
        <v>203</v>
      </c>
      <c r="Y8" s="64" t="s">
        <v>203</v>
      </c>
      <c r="Z8" s="64" t="s">
        <v>203</v>
      </c>
      <c r="AA8" s="64" t="s">
        <v>203</v>
      </c>
      <c r="AB8" s="64" t="s">
        <v>203</v>
      </c>
      <c r="AC8" s="64" t="s">
        <v>203</v>
      </c>
      <c r="AD8" s="64" t="s">
        <v>203</v>
      </c>
      <c r="AE8" s="64" t="s">
        <v>203</v>
      </c>
      <c r="AF8" s="64" t="s">
        <v>203</v>
      </c>
      <c r="AG8" s="64" t="s">
        <v>203</v>
      </c>
      <c r="AH8" s="64" t="s">
        <v>203</v>
      </c>
      <c r="AI8" s="64" t="s">
        <v>203</v>
      </c>
      <c r="AJ8" s="65" t="s">
        <v>204</v>
      </c>
      <c r="AK8" s="65" t="s">
        <v>204</v>
      </c>
      <c r="AL8" s="65" t="s">
        <v>204</v>
      </c>
      <c r="AM8" s="65" t="s">
        <v>204</v>
      </c>
      <c r="AN8" s="65" t="s">
        <v>204</v>
      </c>
      <c r="AO8" s="65" t="s">
        <v>204</v>
      </c>
      <c r="AP8" s="65" t="s">
        <v>204</v>
      </c>
      <c r="AQ8" s="65" t="s">
        <v>204</v>
      </c>
      <c r="AR8" s="65" t="s">
        <v>204</v>
      </c>
      <c r="AS8" s="65" t="s">
        <v>204</v>
      </c>
      <c r="AT8" s="65" t="s">
        <v>204</v>
      </c>
      <c r="AU8" s="65" t="s">
        <v>204</v>
      </c>
      <c r="AV8" s="65" t="s">
        <v>204</v>
      </c>
      <c r="AW8" s="65" t="s">
        <v>204</v>
      </c>
      <c r="AX8" s="65" t="s">
        <v>204</v>
      </c>
      <c r="AY8" s="65" t="s">
        <v>204</v>
      </c>
      <c r="AZ8" s="65" t="s">
        <v>204</v>
      </c>
      <c r="BA8" s="65" t="s">
        <v>204</v>
      </c>
    </row>
    <row r="9" customFormat="false" ht="15" hidden="false" customHeight="true" outlineLevel="0" collapsed="false">
      <c r="A9" s="61" t="s">
        <v>211</v>
      </c>
      <c r="B9" s="62" t="s">
        <v>212</v>
      </c>
      <c r="C9" s="63" t="s">
        <v>202</v>
      </c>
      <c r="D9" s="63" t="s">
        <v>202</v>
      </c>
      <c r="E9" s="63" t="s">
        <v>202</v>
      </c>
      <c r="F9" s="63" t="s">
        <v>202</v>
      </c>
      <c r="G9" s="63" t="s">
        <v>202</v>
      </c>
      <c r="H9" s="63" t="s">
        <v>202</v>
      </c>
      <c r="I9" s="63" t="s">
        <v>202</v>
      </c>
      <c r="J9" s="63" t="s">
        <v>202</v>
      </c>
      <c r="K9" s="63" t="s">
        <v>202</v>
      </c>
      <c r="L9" s="63" t="s">
        <v>202</v>
      </c>
      <c r="M9" s="63" t="s">
        <v>202</v>
      </c>
      <c r="N9" s="63" t="s">
        <v>202</v>
      </c>
      <c r="O9" s="63" t="s">
        <v>202</v>
      </c>
      <c r="P9" s="64" t="s">
        <v>203</v>
      </c>
      <c r="Q9" s="64" t="s">
        <v>203</v>
      </c>
      <c r="R9" s="64" t="s">
        <v>203</v>
      </c>
      <c r="S9" s="64" t="s">
        <v>203</v>
      </c>
      <c r="T9" s="64" t="s">
        <v>203</v>
      </c>
      <c r="U9" s="64" t="s">
        <v>203</v>
      </c>
      <c r="V9" s="64" t="s">
        <v>203</v>
      </c>
      <c r="W9" s="64" t="s">
        <v>203</v>
      </c>
      <c r="X9" s="64" t="s">
        <v>203</v>
      </c>
      <c r="Y9" s="64" t="s">
        <v>203</v>
      </c>
      <c r="Z9" s="64" t="s">
        <v>203</v>
      </c>
      <c r="AA9" s="64" t="s">
        <v>203</v>
      </c>
      <c r="AB9" s="64" t="s">
        <v>203</v>
      </c>
      <c r="AC9" s="64" t="s">
        <v>203</v>
      </c>
      <c r="AD9" s="64" t="s">
        <v>203</v>
      </c>
      <c r="AE9" s="64" t="s">
        <v>203</v>
      </c>
      <c r="AF9" s="64" t="s">
        <v>203</v>
      </c>
      <c r="AG9" s="64" t="s">
        <v>203</v>
      </c>
      <c r="AH9" s="64" t="s">
        <v>203</v>
      </c>
      <c r="AI9" s="64" t="s">
        <v>203</v>
      </c>
      <c r="AJ9" s="65" t="s">
        <v>204</v>
      </c>
      <c r="AK9" s="65" t="s">
        <v>204</v>
      </c>
      <c r="AL9" s="65" t="s">
        <v>204</v>
      </c>
      <c r="AM9" s="65" t="s">
        <v>204</v>
      </c>
      <c r="AN9" s="65" t="s">
        <v>204</v>
      </c>
      <c r="AO9" s="65" t="s">
        <v>204</v>
      </c>
      <c r="AP9" s="65" t="s">
        <v>204</v>
      </c>
      <c r="AQ9" s="65" t="s">
        <v>204</v>
      </c>
      <c r="AR9" s="65" t="s">
        <v>204</v>
      </c>
      <c r="AS9" s="65" t="s">
        <v>204</v>
      </c>
      <c r="AT9" s="65" t="s">
        <v>204</v>
      </c>
      <c r="AU9" s="65" t="s">
        <v>204</v>
      </c>
      <c r="AV9" s="65" t="s">
        <v>204</v>
      </c>
      <c r="AW9" s="65" t="s">
        <v>204</v>
      </c>
      <c r="AX9" s="65" t="s">
        <v>204</v>
      </c>
      <c r="AY9" s="65" t="s">
        <v>204</v>
      </c>
      <c r="AZ9" s="65" t="s">
        <v>204</v>
      </c>
      <c r="BA9" s="65" t="s">
        <v>204</v>
      </c>
    </row>
    <row r="10" customFormat="false" ht="15" hidden="false" customHeight="true" outlineLevel="0" collapsed="false">
      <c r="A10" s="61" t="s">
        <v>213</v>
      </c>
      <c r="B10" s="62" t="s">
        <v>214</v>
      </c>
      <c r="C10" s="63" t="s">
        <v>202</v>
      </c>
      <c r="D10" s="63" t="s">
        <v>202</v>
      </c>
      <c r="E10" s="63" t="s">
        <v>202</v>
      </c>
      <c r="F10" s="63" t="s">
        <v>202</v>
      </c>
      <c r="G10" s="63" t="s">
        <v>202</v>
      </c>
      <c r="H10" s="63" t="s">
        <v>202</v>
      </c>
      <c r="I10" s="63" t="s">
        <v>202</v>
      </c>
      <c r="J10" s="63" t="s">
        <v>202</v>
      </c>
      <c r="K10" s="63" t="s">
        <v>202</v>
      </c>
      <c r="L10" s="63" t="s">
        <v>202</v>
      </c>
      <c r="M10" s="63" t="s">
        <v>202</v>
      </c>
      <c r="N10" s="63" t="s">
        <v>202</v>
      </c>
      <c r="O10" s="63" t="s">
        <v>202</v>
      </c>
      <c r="P10" s="64" t="s">
        <v>203</v>
      </c>
      <c r="Q10" s="64" t="s">
        <v>203</v>
      </c>
      <c r="R10" s="64" t="s">
        <v>203</v>
      </c>
      <c r="S10" s="64" t="s">
        <v>203</v>
      </c>
      <c r="T10" s="64" t="s">
        <v>203</v>
      </c>
      <c r="U10" s="64" t="s">
        <v>203</v>
      </c>
      <c r="V10" s="64" t="s">
        <v>203</v>
      </c>
      <c r="W10" s="64" t="s">
        <v>203</v>
      </c>
      <c r="X10" s="64" t="s">
        <v>203</v>
      </c>
      <c r="Y10" s="64" t="s">
        <v>203</v>
      </c>
      <c r="Z10" s="64" t="s">
        <v>203</v>
      </c>
      <c r="AA10" s="64" t="s">
        <v>203</v>
      </c>
      <c r="AB10" s="64" t="s">
        <v>203</v>
      </c>
      <c r="AC10" s="64" t="s">
        <v>203</v>
      </c>
      <c r="AD10" s="64" t="s">
        <v>203</v>
      </c>
      <c r="AE10" s="64" t="s">
        <v>203</v>
      </c>
      <c r="AF10" s="64" t="s">
        <v>203</v>
      </c>
      <c r="AG10" s="64" t="s">
        <v>203</v>
      </c>
      <c r="AH10" s="64" t="s">
        <v>203</v>
      </c>
      <c r="AI10" s="64" t="s">
        <v>203</v>
      </c>
      <c r="AJ10" s="65" t="s">
        <v>204</v>
      </c>
      <c r="AK10" s="65" t="s">
        <v>204</v>
      </c>
      <c r="AL10" s="65" t="s">
        <v>204</v>
      </c>
      <c r="AM10" s="65" t="s">
        <v>204</v>
      </c>
      <c r="AN10" s="65" t="s">
        <v>204</v>
      </c>
      <c r="AO10" s="65" t="s">
        <v>204</v>
      </c>
      <c r="AP10" s="65" t="s">
        <v>204</v>
      </c>
      <c r="AQ10" s="65" t="s">
        <v>204</v>
      </c>
      <c r="AR10" s="65" t="s">
        <v>204</v>
      </c>
      <c r="AS10" s="65" t="s">
        <v>204</v>
      </c>
      <c r="AT10" s="65" t="s">
        <v>204</v>
      </c>
      <c r="AU10" s="65" t="s">
        <v>204</v>
      </c>
      <c r="AV10" s="65" t="s">
        <v>204</v>
      </c>
      <c r="AW10" s="65" t="s">
        <v>204</v>
      </c>
      <c r="AX10" s="65" t="s">
        <v>204</v>
      </c>
      <c r="AY10" s="65" t="s">
        <v>204</v>
      </c>
      <c r="AZ10" s="65" t="s">
        <v>204</v>
      </c>
      <c r="BA10" s="65" t="s">
        <v>204</v>
      </c>
    </row>
    <row r="11" customFormat="false" ht="15" hidden="false" customHeight="true" outlineLevel="0" collapsed="false">
      <c r="A11" s="61" t="s">
        <v>215</v>
      </c>
      <c r="B11" s="62" t="s">
        <v>216</v>
      </c>
      <c r="C11" s="63" t="s">
        <v>202</v>
      </c>
      <c r="D11" s="63" t="s">
        <v>202</v>
      </c>
      <c r="E11" s="63" t="s">
        <v>202</v>
      </c>
      <c r="F11" s="63" t="s">
        <v>202</v>
      </c>
      <c r="G11" s="63" t="s">
        <v>202</v>
      </c>
      <c r="H11" s="63" t="s">
        <v>202</v>
      </c>
      <c r="I11" s="63" t="s">
        <v>202</v>
      </c>
      <c r="J11" s="63" t="s">
        <v>202</v>
      </c>
      <c r="K11" s="63" t="s">
        <v>202</v>
      </c>
      <c r="L11" s="63" t="s">
        <v>202</v>
      </c>
      <c r="M11" s="63" t="s">
        <v>202</v>
      </c>
      <c r="N11" s="63" t="s">
        <v>202</v>
      </c>
      <c r="O11" s="63" t="s">
        <v>202</v>
      </c>
      <c r="P11" s="64" t="s">
        <v>203</v>
      </c>
      <c r="Q11" s="64" t="s">
        <v>203</v>
      </c>
      <c r="R11" s="64" t="s">
        <v>203</v>
      </c>
      <c r="S11" s="64" t="s">
        <v>203</v>
      </c>
      <c r="T11" s="64" t="s">
        <v>203</v>
      </c>
      <c r="U11" s="64" t="s">
        <v>203</v>
      </c>
      <c r="V11" s="64" t="s">
        <v>203</v>
      </c>
      <c r="W11" s="64" t="s">
        <v>203</v>
      </c>
      <c r="X11" s="64" t="s">
        <v>203</v>
      </c>
      <c r="Y11" s="64" t="s">
        <v>203</v>
      </c>
      <c r="Z11" s="64" t="s">
        <v>203</v>
      </c>
      <c r="AA11" s="64" t="s">
        <v>203</v>
      </c>
      <c r="AB11" s="64" t="s">
        <v>203</v>
      </c>
      <c r="AC11" s="64" t="s">
        <v>203</v>
      </c>
      <c r="AD11" s="64" t="s">
        <v>203</v>
      </c>
      <c r="AE11" s="64" t="s">
        <v>203</v>
      </c>
      <c r="AF11" s="64" t="s">
        <v>203</v>
      </c>
      <c r="AG11" s="64" t="s">
        <v>203</v>
      </c>
      <c r="AH11" s="64" t="s">
        <v>203</v>
      </c>
      <c r="AI11" s="64" t="s">
        <v>203</v>
      </c>
      <c r="AJ11" s="65" t="s">
        <v>204</v>
      </c>
      <c r="AK11" s="65" t="s">
        <v>204</v>
      </c>
      <c r="AL11" s="65" t="s">
        <v>204</v>
      </c>
      <c r="AM11" s="65" t="s">
        <v>204</v>
      </c>
      <c r="AN11" s="65" t="s">
        <v>204</v>
      </c>
      <c r="AO11" s="65" t="s">
        <v>204</v>
      </c>
      <c r="AP11" s="65" t="s">
        <v>204</v>
      </c>
      <c r="AQ11" s="65" t="s">
        <v>204</v>
      </c>
      <c r="AR11" s="65" t="s">
        <v>204</v>
      </c>
      <c r="AS11" s="65" t="s">
        <v>204</v>
      </c>
      <c r="AT11" s="65" t="s">
        <v>204</v>
      </c>
      <c r="AU11" s="65" t="s">
        <v>204</v>
      </c>
      <c r="AV11" s="65" t="s">
        <v>204</v>
      </c>
      <c r="AW11" s="65" t="s">
        <v>204</v>
      </c>
      <c r="AX11" s="65" t="s">
        <v>204</v>
      </c>
      <c r="AY11" s="65" t="s">
        <v>204</v>
      </c>
      <c r="AZ11" s="65" t="s">
        <v>204</v>
      </c>
      <c r="BA11" s="65" t="s">
        <v>204</v>
      </c>
    </row>
    <row r="12" customFormat="false" ht="15" hidden="false" customHeight="true" outlineLevel="0" collapsed="false">
      <c r="A12" s="61" t="s">
        <v>217</v>
      </c>
      <c r="B12" s="62" t="s">
        <v>218</v>
      </c>
      <c r="C12" s="63" t="s">
        <v>202</v>
      </c>
      <c r="D12" s="63" t="s">
        <v>202</v>
      </c>
      <c r="E12" s="63" t="s">
        <v>202</v>
      </c>
      <c r="F12" s="63" t="s">
        <v>202</v>
      </c>
      <c r="G12" s="63" t="s">
        <v>202</v>
      </c>
      <c r="H12" s="63" t="s">
        <v>202</v>
      </c>
      <c r="I12" s="63" t="s">
        <v>202</v>
      </c>
      <c r="J12" s="63" t="s">
        <v>202</v>
      </c>
      <c r="K12" s="63" t="s">
        <v>202</v>
      </c>
      <c r="L12" s="63" t="s">
        <v>202</v>
      </c>
      <c r="M12" s="63" t="s">
        <v>202</v>
      </c>
      <c r="N12" s="63" t="s">
        <v>202</v>
      </c>
      <c r="O12" s="63" t="s">
        <v>202</v>
      </c>
      <c r="P12" s="64" t="s">
        <v>203</v>
      </c>
      <c r="Q12" s="64" t="s">
        <v>203</v>
      </c>
      <c r="R12" s="64" t="s">
        <v>203</v>
      </c>
      <c r="S12" s="64" t="s">
        <v>203</v>
      </c>
      <c r="T12" s="64" t="s">
        <v>203</v>
      </c>
      <c r="U12" s="64" t="s">
        <v>203</v>
      </c>
      <c r="V12" s="64" t="s">
        <v>203</v>
      </c>
      <c r="W12" s="64" t="s">
        <v>203</v>
      </c>
      <c r="X12" s="64" t="s">
        <v>203</v>
      </c>
      <c r="Y12" s="64" t="s">
        <v>203</v>
      </c>
      <c r="Z12" s="64" t="s">
        <v>203</v>
      </c>
      <c r="AA12" s="64" t="s">
        <v>203</v>
      </c>
      <c r="AB12" s="64" t="s">
        <v>203</v>
      </c>
      <c r="AC12" s="64" t="s">
        <v>203</v>
      </c>
      <c r="AD12" s="64" t="s">
        <v>203</v>
      </c>
      <c r="AE12" s="64" t="s">
        <v>203</v>
      </c>
      <c r="AF12" s="64" t="s">
        <v>203</v>
      </c>
      <c r="AG12" s="64" t="s">
        <v>203</v>
      </c>
      <c r="AH12" s="64" t="s">
        <v>203</v>
      </c>
      <c r="AI12" s="64" t="s">
        <v>203</v>
      </c>
      <c r="AJ12" s="65" t="s">
        <v>204</v>
      </c>
      <c r="AK12" s="65" t="s">
        <v>204</v>
      </c>
      <c r="AL12" s="65" t="s">
        <v>204</v>
      </c>
      <c r="AM12" s="65" t="s">
        <v>204</v>
      </c>
      <c r="AN12" s="65" t="s">
        <v>204</v>
      </c>
      <c r="AO12" s="65" t="s">
        <v>204</v>
      </c>
      <c r="AP12" s="65" t="s">
        <v>204</v>
      </c>
      <c r="AQ12" s="65" t="s">
        <v>204</v>
      </c>
      <c r="AR12" s="65" t="s">
        <v>204</v>
      </c>
      <c r="AS12" s="65" t="s">
        <v>204</v>
      </c>
      <c r="AT12" s="65" t="s">
        <v>204</v>
      </c>
      <c r="AU12" s="65" t="s">
        <v>204</v>
      </c>
      <c r="AV12" s="65" t="s">
        <v>204</v>
      </c>
      <c r="AW12" s="65" t="s">
        <v>204</v>
      </c>
      <c r="AX12" s="65" t="s">
        <v>204</v>
      </c>
      <c r="AY12" s="65" t="s">
        <v>204</v>
      </c>
      <c r="AZ12" s="65" t="s">
        <v>204</v>
      </c>
      <c r="BA12" s="65" t="s">
        <v>204</v>
      </c>
    </row>
    <row r="13" customFormat="false" ht="15" hidden="false" customHeight="true" outlineLevel="0" collapsed="false">
      <c r="A13" s="61" t="s">
        <v>219</v>
      </c>
      <c r="B13" s="62" t="s">
        <v>220</v>
      </c>
      <c r="C13" s="63" t="s">
        <v>202</v>
      </c>
      <c r="D13" s="63" t="s">
        <v>202</v>
      </c>
      <c r="E13" s="63" t="s">
        <v>202</v>
      </c>
      <c r="F13" s="63" t="s">
        <v>202</v>
      </c>
      <c r="G13" s="63" t="s">
        <v>202</v>
      </c>
      <c r="H13" s="63" t="s">
        <v>202</v>
      </c>
      <c r="I13" s="63" t="s">
        <v>202</v>
      </c>
      <c r="J13" s="63" t="s">
        <v>202</v>
      </c>
      <c r="K13" s="63" t="s">
        <v>202</v>
      </c>
      <c r="L13" s="63" t="s">
        <v>202</v>
      </c>
      <c r="M13" s="63" t="s">
        <v>202</v>
      </c>
      <c r="N13" s="63" t="s">
        <v>202</v>
      </c>
      <c r="O13" s="63" t="s">
        <v>202</v>
      </c>
      <c r="P13" s="64" t="s">
        <v>203</v>
      </c>
      <c r="Q13" s="64" t="s">
        <v>203</v>
      </c>
      <c r="R13" s="64" t="s">
        <v>203</v>
      </c>
      <c r="S13" s="64" t="s">
        <v>203</v>
      </c>
      <c r="T13" s="64" t="s">
        <v>203</v>
      </c>
      <c r="U13" s="64" t="s">
        <v>203</v>
      </c>
      <c r="V13" s="64" t="s">
        <v>203</v>
      </c>
      <c r="W13" s="64" t="s">
        <v>203</v>
      </c>
      <c r="X13" s="64" t="s">
        <v>203</v>
      </c>
      <c r="Y13" s="64" t="s">
        <v>203</v>
      </c>
      <c r="Z13" s="64" t="s">
        <v>203</v>
      </c>
      <c r="AA13" s="64" t="s">
        <v>203</v>
      </c>
      <c r="AB13" s="64" t="s">
        <v>203</v>
      </c>
      <c r="AC13" s="64" t="s">
        <v>203</v>
      </c>
      <c r="AD13" s="64" t="s">
        <v>203</v>
      </c>
      <c r="AE13" s="64" t="s">
        <v>203</v>
      </c>
      <c r="AF13" s="64" t="s">
        <v>203</v>
      </c>
      <c r="AG13" s="64" t="s">
        <v>203</v>
      </c>
      <c r="AH13" s="64" t="s">
        <v>203</v>
      </c>
      <c r="AI13" s="64" t="s">
        <v>203</v>
      </c>
      <c r="AJ13" s="65" t="s">
        <v>204</v>
      </c>
      <c r="AK13" s="65" t="s">
        <v>204</v>
      </c>
      <c r="AL13" s="65" t="s">
        <v>204</v>
      </c>
      <c r="AM13" s="65" t="s">
        <v>204</v>
      </c>
      <c r="AN13" s="65" t="s">
        <v>204</v>
      </c>
      <c r="AO13" s="65" t="s">
        <v>204</v>
      </c>
      <c r="AP13" s="65" t="s">
        <v>204</v>
      </c>
      <c r="AQ13" s="65" t="s">
        <v>204</v>
      </c>
      <c r="AR13" s="65" t="s">
        <v>204</v>
      </c>
      <c r="AS13" s="65" t="s">
        <v>204</v>
      </c>
      <c r="AT13" s="65" t="s">
        <v>204</v>
      </c>
      <c r="AU13" s="65" t="s">
        <v>204</v>
      </c>
      <c r="AV13" s="65" t="s">
        <v>204</v>
      </c>
      <c r="AW13" s="65" t="s">
        <v>204</v>
      </c>
      <c r="AX13" s="65" t="s">
        <v>204</v>
      </c>
      <c r="AY13" s="65" t="s">
        <v>204</v>
      </c>
      <c r="AZ13" s="65" t="s">
        <v>204</v>
      </c>
      <c r="BA13" s="65" t="s">
        <v>204</v>
      </c>
    </row>
    <row r="14" customFormat="false" ht="15" hidden="false" customHeight="true" outlineLevel="0" collapsed="false">
      <c r="A14" s="61" t="s">
        <v>221</v>
      </c>
      <c r="B14" s="62" t="s">
        <v>222</v>
      </c>
      <c r="C14" s="63" t="s">
        <v>202</v>
      </c>
      <c r="D14" s="63" t="s">
        <v>202</v>
      </c>
      <c r="E14" s="63" t="s">
        <v>202</v>
      </c>
      <c r="F14" s="63" t="s">
        <v>202</v>
      </c>
      <c r="G14" s="63" t="s">
        <v>202</v>
      </c>
      <c r="H14" s="63" t="s">
        <v>202</v>
      </c>
      <c r="I14" s="63" t="s">
        <v>202</v>
      </c>
      <c r="J14" s="63" t="s">
        <v>202</v>
      </c>
      <c r="K14" s="63" t="s">
        <v>202</v>
      </c>
      <c r="L14" s="63" t="s">
        <v>202</v>
      </c>
      <c r="M14" s="63" t="s">
        <v>202</v>
      </c>
      <c r="N14" s="63" t="s">
        <v>202</v>
      </c>
      <c r="O14" s="63" t="s">
        <v>202</v>
      </c>
      <c r="P14" s="64" t="s">
        <v>203</v>
      </c>
      <c r="Q14" s="64" t="s">
        <v>203</v>
      </c>
      <c r="R14" s="64" t="s">
        <v>203</v>
      </c>
      <c r="S14" s="64" t="s">
        <v>203</v>
      </c>
      <c r="T14" s="64" t="s">
        <v>203</v>
      </c>
      <c r="U14" s="64" t="s">
        <v>203</v>
      </c>
      <c r="V14" s="64" t="s">
        <v>203</v>
      </c>
      <c r="W14" s="64" t="s">
        <v>203</v>
      </c>
      <c r="X14" s="64" t="s">
        <v>203</v>
      </c>
      <c r="Y14" s="64" t="s">
        <v>203</v>
      </c>
      <c r="Z14" s="64" t="s">
        <v>203</v>
      </c>
      <c r="AA14" s="64" t="s">
        <v>203</v>
      </c>
      <c r="AB14" s="64" t="s">
        <v>203</v>
      </c>
      <c r="AC14" s="64" t="s">
        <v>203</v>
      </c>
      <c r="AD14" s="64" t="s">
        <v>203</v>
      </c>
      <c r="AE14" s="64" t="s">
        <v>203</v>
      </c>
      <c r="AF14" s="64" t="s">
        <v>203</v>
      </c>
      <c r="AG14" s="64" t="s">
        <v>203</v>
      </c>
      <c r="AH14" s="64" t="s">
        <v>203</v>
      </c>
      <c r="AI14" s="64" t="s">
        <v>203</v>
      </c>
      <c r="AJ14" s="65" t="s">
        <v>204</v>
      </c>
      <c r="AK14" s="65" t="s">
        <v>204</v>
      </c>
      <c r="AL14" s="65" t="s">
        <v>204</v>
      </c>
      <c r="AM14" s="65" t="s">
        <v>204</v>
      </c>
      <c r="AN14" s="65" t="s">
        <v>204</v>
      </c>
      <c r="AO14" s="65" t="s">
        <v>204</v>
      </c>
      <c r="AP14" s="65" t="s">
        <v>204</v>
      </c>
      <c r="AQ14" s="65" t="s">
        <v>204</v>
      </c>
      <c r="AR14" s="65" t="s">
        <v>204</v>
      </c>
      <c r="AS14" s="65" t="s">
        <v>204</v>
      </c>
      <c r="AT14" s="65" t="s">
        <v>204</v>
      </c>
      <c r="AU14" s="65" t="s">
        <v>204</v>
      </c>
      <c r="AV14" s="65" t="s">
        <v>204</v>
      </c>
      <c r="AW14" s="65" t="s">
        <v>204</v>
      </c>
      <c r="AX14" s="65" t="s">
        <v>204</v>
      </c>
      <c r="AY14" s="65" t="s">
        <v>204</v>
      </c>
      <c r="AZ14" s="65" t="s">
        <v>204</v>
      </c>
      <c r="BA14" s="65" t="s">
        <v>204</v>
      </c>
    </row>
    <row r="15" customFormat="false" ht="15" hidden="false" customHeight="true" outlineLevel="0" collapsed="false">
      <c r="A15" s="61" t="s">
        <v>223</v>
      </c>
      <c r="B15" s="62" t="s">
        <v>224</v>
      </c>
      <c r="C15" s="63" t="s">
        <v>202</v>
      </c>
      <c r="D15" s="63" t="s">
        <v>202</v>
      </c>
      <c r="E15" s="63" t="s">
        <v>202</v>
      </c>
      <c r="F15" s="63" t="s">
        <v>202</v>
      </c>
      <c r="G15" s="63" t="s">
        <v>202</v>
      </c>
      <c r="H15" s="63" t="s">
        <v>202</v>
      </c>
      <c r="I15" s="63" t="s">
        <v>202</v>
      </c>
      <c r="J15" s="63" t="s">
        <v>202</v>
      </c>
      <c r="K15" s="63" t="s">
        <v>202</v>
      </c>
      <c r="L15" s="63" t="s">
        <v>202</v>
      </c>
      <c r="M15" s="63" t="s">
        <v>202</v>
      </c>
      <c r="N15" s="63" t="s">
        <v>202</v>
      </c>
      <c r="O15" s="63" t="s">
        <v>202</v>
      </c>
      <c r="P15" s="64" t="s">
        <v>203</v>
      </c>
      <c r="Q15" s="64" t="s">
        <v>203</v>
      </c>
      <c r="R15" s="64" t="s">
        <v>203</v>
      </c>
      <c r="S15" s="64" t="s">
        <v>203</v>
      </c>
      <c r="T15" s="64" t="s">
        <v>203</v>
      </c>
      <c r="U15" s="64" t="s">
        <v>203</v>
      </c>
      <c r="V15" s="64" t="s">
        <v>203</v>
      </c>
      <c r="W15" s="64" t="s">
        <v>203</v>
      </c>
      <c r="X15" s="64" t="s">
        <v>203</v>
      </c>
      <c r="Y15" s="64" t="s">
        <v>203</v>
      </c>
      <c r="Z15" s="64" t="s">
        <v>203</v>
      </c>
      <c r="AA15" s="64" t="s">
        <v>203</v>
      </c>
      <c r="AB15" s="64" t="s">
        <v>203</v>
      </c>
      <c r="AC15" s="64" t="s">
        <v>203</v>
      </c>
      <c r="AD15" s="64" t="s">
        <v>203</v>
      </c>
      <c r="AE15" s="64" t="s">
        <v>203</v>
      </c>
      <c r="AF15" s="64" t="s">
        <v>203</v>
      </c>
      <c r="AG15" s="64" t="s">
        <v>203</v>
      </c>
      <c r="AH15" s="64" t="s">
        <v>203</v>
      </c>
      <c r="AI15" s="64" t="s">
        <v>203</v>
      </c>
      <c r="AJ15" s="65" t="s">
        <v>204</v>
      </c>
      <c r="AK15" s="65" t="s">
        <v>204</v>
      </c>
      <c r="AL15" s="65" t="s">
        <v>204</v>
      </c>
      <c r="AM15" s="65" t="s">
        <v>204</v>
      </c>
      <c r="AN15" s="65" t="s">
        <v>204</v>
      </c>
      <c r="AO15" s="65" t="s">
        <v>204</v>
      </c>
      <c r="AP15" s="65" t="s">
        <v>204</v>
      </c>
      <c r="AQ15" s="65" t="s">
        <v>204</v>
      </c>
      <c r="AR15" s="65" t="s">
        <v>204</v>
      </c>
      <c r="AS15" s="65" t="s">
        <v>204</v>
      </c>
      <c r="AT15" s="65" t="s">
        <v>204</v>
      </c>
      <c r="AU15" s="65" t="s">
        <v>204</v>
      </c>
      <c r="AV15" s="65" t="s">
        <v>204</v>
      </c>
      <c r="AW15" s="65" t="s">
        <v>204</v>
      </c>
      <c r="AX15" s="65" t="s">
        <v>204</v>
      </c>
      <c r="AY15" s="65" t="s">
        <v>204</v>
      </c>
      <c r="AZ15" s="65" t="s">
        <v>204</v>
      </c>
      <c r="BA15" s="65" t="s">
        <v>204</v>
      </c>
    </row>
    <row r="16" customFormat="false" ht="15" hidden="false" customHeight="true" outlineLevel="0" collapsed="false">
      <c r="A16" s="61" t="s">
        <v>225</v>
      </c>
      <c r="B16" s="62" t="s">
        <v>226</v>
      </c>
      <c r="C16" s="63" t="s">
        <v>202</v>
      </c>
      <c r="D16" s="63" t="s">
        <v>202</v>
      </c>
      <c r="E16" s="63" t="s">
        <v>202</v>
      </c>
      <c r="F16" s="63" t="s">
        <v>202</v>
      </c>
      <c r="G16" s="63" t="s">
        <v>202</v>
      </c>
      <c r="H16" s="63" t="s">
        <v>202</v>
      </c>
      <c r="I16" s="63" t="s">
        <v>202</v>
      </c>
      <c r="J16" s="63" t="s">
        <v>202</v>
      </c>
      <c r="K16" s="63" t="s">
        <v>202</v>
      </c>
      <c r="L16" s="63" t="s">
        <v>202</v>
      </c>
      <c r="M16" s="63" t="s">
        <v>202</v>
      </c>
      <c r="N16" s="63" t="s">
        <v>202</v>
      </c>
      <c r="O16" s="63" t="s">
        <v>202</v>
      </c>
      <c r="P16" s="64" t="s">
        <v>203</v>
      </c>
      <c r="Q16" s="64" t="s">
        <v>203</v>
      </c>
      <c r="R16" s="64" t="s">
        <v>203</v>
      </c>
      <c r="S16" s="64" t="s">
        <v>203</v>
      </c>
      <c r="T16" s="64" t="s">
        <v>203</v>
      </c>
      <c r="U16" s="64" t="s">
        <v>203</v>
      </c>
      <c r="V16" s="64" t="s">
        <v>203</v>
      </c>
      <c r="W16" s="64" t="s">
        <v>203</v>
      </c>
      <c r="X16" s="64" t="s">
        <v>203</v>
      </c>
      <c r="Y16" s="64" t="s">
        <v>203</v>
      </c>
      <c r="Z16" s="64" t="s">
        <v>203</v>
      </c>
      <c r="AA16" s="64" t="s">
        <v>203</v>
      </c>
      <c r="AB16" s="64" t="s">
        <v>203</v>
      </c>
      <c r="AC16" s="64" t="s">
        <v>203</v>
      </c>
      <c r="AD16" s="64" t="s">
        <v>203</v>
      </c>
      <c r="AE16" s="64" t="s">
        <v>203</v>
      </c>
      <c r="AF16" s="64" t="s">
        <v>203</v>
      </c>
      <c r="AG16" s="64" t="s">
        <v>203</v>
      </c>
      <c r="AH16" s="64" t="s">
        <v>203</v>
      </c>
      <c r="AI16" s="64" t="s">
        <v>203</v>
      </c>
      <c r="AJ16" s="65" t="s">
        <v>204</v>
      </c>
      <c r="AK16" s="65" t="s">
        <v>204</v>
      </c>
      <c r="AL16" s="65" t="s">
        <v>204</v>
      </c>
      <c r="AM16" s="65" t="s">
        <v>204</v>
      </c>
      <c r="AN16" s="65" t="s">
        <v>204</v>
      </c>
      <c r="AO16" s="65" t="s">
        <v>204</v>
      </c>
      <c r="AP16" s="65" t="s">
        <v>204</v>
      </c>
      <c r="AQ16" s="65" t="s">
        <v>204</v>
      </c>
      <c r="AR16" s="65" t="s">
        <v>204</v>
      </c>
      <c r="AS16" s="65" t="s">
        <v>204</v>
      </c>
      <c r="AT16" s="65" t="s">
        <v>204</v>
      </c>
      <c r="AU16" s="65" t="s">
        <v>204</v>
      </c>
      <c r="AV16" s="65" t="s">
        <v>204</v>
      </c>
      <c r="AW16" s="65" t="s">
        <v>204</v>
      </c>
      <c r="AX16" s="65" t="s">
        <v>204</v>
      </c>
      <c r="AY16" s="65" t="s">
        <v>204</v>
      </c>
      <c r="AZ16" s="65" t="s">
        <v>204</v>
      </c>
      <c r="BA16" s="65" t="s">
        <v>204</v>
      </c>
    </row>
    <row r="17" customFormat="false" ht="15" hidden="false" customHeight="true" outlineLevel="0" collapsed="false">
      <c r="A17" s="61" t="s">
        <v>227</v>
      </c>
      <c r="B17" s="62" t="s">
        <v>228</v>
      </c>
      <c r="C17" s="63" t="s">
        <v>202</v>
      </c>
      <c r="D17" s="63" t="s">
        <v>202</v>
      </c>
      <c r="E17" s="63" t="s">
        <v>202</v>
      </c>
      <c r="F17" s="63" t="s">
        <v>202</v>
      </c>
      <c r="G17" s="63" t="s">
        <v>202</v>
      </c>
      <c r="H17" s="63" t="s">
        <v>202</v>
      </c>
      <c r="I17" s="63" t="s">
        <v>202</v>
      </c>
      <c r="J17" s="63" t="s">
        <v>202</v>
      </c>
      <c r="K17" s="63" t="s">
        <v>202</v>
      </c>
      <c r="L17" s="63" t="s">
        <v>202</v>
      </c>
      <c r="M17" s="63" t="s">
        <v>202</v>
      </c>
      <c r="N17" s="63" t="s">
        <v>202</v>
      </c>
      <c r="O17" s="63" t="s">
        <v>202</v>
      </c>
      <c r="P17" s="64" t="s">
        <v>203</v>
      </c>
      <c r="Q17" s="64" t="s">
        <v>203</v>
      </c>
      <c r="R17" s="64" t="s">
        <v>203</v>
      </c>
      <c r="S17" s="64" t="s">
        <v>203</v>
      </c>
      <c r="T17" s="64" t="s">
        <v>203</v>
      </c>
      <c r="U17" s="64" t="s">
        <v>203</v>
      </c>
      <c r="V17" s="64" t="s">
        <v>203</v>
      </c>
      <c r="W17" s="64" t="s">
        <v>203</v>
      </c>
      <c r="X17" s="64" t="s">
        <v>203</v>
      </c>
      <c r="Y17" s="64" t="s">
        <v>203</v>
      </c>
      <c r="Z17" s="64" t="s">
        <v>203</v>
      </c>
      <c r="AA17" s="64" t="s">
        <v>203</v>
      </c>
      <c r="AB17" s="64" t="s">
        <v>203</v>
      </c>
      <c r="AC17" s="64" t="s">
        <v>203</v>
      </c>
      <c r="AD17" s="64" t="s">
        <v>203</v>
      </c>
      <c r="AE17" s="64" t="s">
        <v>203</v>
      </c>
      <c r="AF17" s="64" t="s">
        <v>203</v>
      </c>
      <c r="AG17" s="64" t="s">
        <v>203</v>
      </c>
      <c r="AH17" s="64" t="s">
        <v>203</v>
      </c>
      <c r="AI17" s="64" t="s">
        <v>203</v>
      </c>
      <c r="AJ17" s="65" t="s">
        <v>204</v>
      </c>
      <c r="AK17" s="65" t="s">
        <v>204</v>
      </c>
      <c r="AL17" s="65" t="s">
        <v>204</v>
      </c>
      <c r="AM17" s="65" t="s">
        <v>204</v>
      </c>
      <c r="AN17" s="65" t="s">
        <v>204</v>
      </c>
      <c r="AO17" s="65" t="s">
        <v>204</v>
      </c>
      <c r="AP17" s="65" t="s">
        <v>204</v>
      </c>
      <c r="AQ17" s="65" t="s">
        <v>204</v>
      </c>
      <c r="AR17" s="65" t="s">
        <v>204</v>
      </c>
      <c r="AS17" s="65" t="s">
        <v>204</v>
      </c>
      <c r="AT17" s="65" t="s">
        <v>204</v>
      </c>
      <c r="AU17" s="65" t="s">
        <v>204</v>
      </c>
      <c r="AV17" s="65" t="s">
        <v>204</v>
      </c>
      <c r="AW17" s="65" t="s">
        <v>204</v>
      </c>
      <c r="AX17" s="65" t="s">
        <v>204</v>
      </c>
      <c r="AY17" s="65" t="s">
        <v>204</v>
      </c>
      <c r="AZ17" s="65" t="s">
        <v>204</v>
      </c>
      <c r="BA17" s="65" t="s">
        <v>204</v>
      </c>
    </row>
    <row r="18" customFormat="false" ht="15" hidden="false" customHeight="true" outlineLevel="0" collapsed="false">
      <c r="A18" s="61" t="s">
        <v>229</v>
      </c>
      <c r="B18" s="62" t="s">
        <v>230</v>
      </c>
      <c r="C18" s="63" t="s">
        <v>202</v>
      </c>
      <c r="D18" s="63" t="s">
        <v>202</v>
      </c>
      <c r="E18" s="63" t="s">
        <v>202</v>
      </c>
      <c r="F18" s="63" t="s">
        <v>202</v>
      </c>
      <c r="G18" s="63" t="s">
        <v>202</v>
      </c>
      <c r="H18" s="63" t="s">
        <v>202</v>
      </c>
      <c r="I18" s="63" t="s">
        <v>202</v>
      </c>
      <c r="J18" s="63" t="s">
        <v>202</v>
      </c>
      <c r="K18" s="63" t="s">
        <v>202</v>
      </c>
      <c r="L18" s="63" t="s">
        <v>202</v>
      </c>
      <c r="M18" s="63" t="s">
        <v>202</v>
      </c>
      <c r="N18" s="63" t="s">
        <v>202</v>
      </c>
      <c r="O18" s="63" t="s">
        <v>202</v>
      </c>
      <c r="P18" s="64" t="s">
        <v>203</v>
      </c>
      <c r="Q18" s="64" t="s">
        <v>203</v>
      </c>
      <c r="R18" s="64" t="s">
        <v>203</v>
      </c>
      <c r="S18" s="64" t="s">
        <v>203</v>
      </c>
      <c r="T18" s="64" t="s">
        <v>203</v>
      </c>
      <c r="U18" s="64" t="s">
        <v>203</v>
      </c>
      <c r="V18" s="64" t="s">
        <v>203</v>
      </c>
      <c r="W18" s="64" t="s">
        <v>203</v>
      </c>
      <c r="X18" s="64" t="s">
        <v>203</v>
      </c>
      <c r="Y18" s="64" t="s">
        <v>203</v>
      </c>
      <c r="Z18" s="64" t="s">
        <v>203</v>
      </c>
      <c r="AA18" s="64" t="s">
        <v>203</v>
      </c>
      <c r="AB18" s="64" t="s">
        <v>203</v>
      </c>
      <c r="AC18" s="64" t="s">
        <v>203</v>
      </c>
      <c r="AD18" s="64" t="s">
        <v>203</v>
      </c>
      <c r="AE18" s="64" t="s">
        <v>203</v>
      </c>
      <c r="AF18" s="64" t="s">
        <v>203</v>
      </c>
      <c r="AG18" s="64" t="s">
        <v>203</v>
      </c>
      <c r="AH18" s="64" t="s">
        <v>203</v>
      </c>
      <c r="AI18" s="64" t="s">
        <v>203</v>
      </c>
      <c r="AJ18" s="65" t="s">
        <v>204</v>
      </c>
      <c r="AK18" s="65" t="s">
        <v>204</v>
      </c>
      <c r="AL18" s="65" t="s">
        <v>204</v>
      </c>
      <c r="AM18" s="65" t="s">
        <v>204</v>
      </c>
      <c r="AN18" s="65" t="s">
        <v>204</v>
      </c>
      <c r="AO18" s="65" t="s">
        <v>204</v>
      </c>
      <c r="AP18" s="65" t="s">
        <v>204</v>
      </c>
      <c r="AQ18" s="65" t="s">
        <v>204</v>
      </c>
      <c r="AR18" s="65" t="s">
        <v>204</v>
      </c>
      <c r="AS18" s="65" t="s">
        <v>204</v>
      </c>
      <c r="AT18" s="65" t="s">
        <v>204</v>
      </c>
      <c r="AU18" s="65" t="s">
        <v>204</v>
      </c>
      <c r="AV18" s="65" t="s">
        <v>204</v>
      </c>
      <c r="AW18" s="65" t="s">
        <v>204</v>
      </c>
      <c r="AX18" s="65" t="s">
        <v>204</v>
      </c>
      <c r="AY18" s="65" t="s">
        <v>204</v>
      </c>
      <c r="AZ18" s="65" t="s">
        <v>204</v>
      </c>
      <c r="BA18" s="65" t="s">
        <v>204</v>
      </c>
    </row>
    <row r="19" customFormat="false" ht="15" hidden="false" customHeight="true" outlineLevel="0" collapsed="false">
      <c r="A19" s="61" t="s">
        <v>231</v>
      </c>
      <c r="B19" s="62" t="s">
        <v>232</v>
      </c>
      <c r="C19" s="63" t="s">
        <v>202</v>
      </c>
      <c r="D19" s="63" t="s">
        <v>202</v>
      </c>
      <c r="E19" s="63" t="s">
        <v>202</v>
      </c>
      <c r="F19" s="63" t="s">
        <v>202</v>
      </c>
      <c r="G19" s="63" t="s">
        <v>202</v>
      </c>
      <c r="H19" s="63" t="s">
        <v>202</v>
      </c>
      <c r="I19" s="63" t="s">
        <v>202</v>
      </c>
      <c r="J19" s="63" t="s">
        <v>202</v>
      </c>
      <c r="K19" s="63" t="s">
        <v>202</v>
      </c>
      <c r="L19" s="63" t="s">
        <v>202</v>
      </c>
      <c r="M19" s="63" t="s">
        <v>202</v>
      </c>
      <c r="N19" s="63" t="s">
        <v>202</v>
      </c>
      <c r="O19" s="63" t="s">
        <v>202</v>
      </c>
      <c r="P19" s="64" t="s">
        <v>203</v>
      </c>
      <c r="Q19" s="64" t="s">
        <v>203</v>
      </c>
      <c r="R19" s="64" t="s">
        <v>203</v>
      </c>
      <c r="S19" s="64" t="s">
        <v>203</v>
      </c>
      <c r="T19" s="64" t="s">
        <v>203</v>
      </c>
      <c r="U19" s="64" t="s">
        <v>203</v>
      </c>
      <c r="V19" s="64" t="s">
        <v>203</v>
      </c>
      <c r="W19" s="64" t="s">
        <v>203</v>
      </c>
      <c r="X19" s="64" t="s">
        <v>203</v>
      </c>
      <c r="Y19" s="64" t="s">
        <v>203</v>
      </c>
      <c r="Z19" s="64" t="s">
        <v>203</v>
      </c>
      <c r="AA19" s="64" t="s">
        <v>203</v>
      </c>
      <c r="AB19" s="64" t="s">
        <v>203</v>
      </c>
      <c r="AC19" s="64" t="s">
        <v>203</v>
      </c>
      <c r="AD19" s="64" t="s">
        <v>203</v>
      </c>
      <c r="AE19" s="64" t="s">
        <v>203</v>
      </c>
      <c r="AF19" s="64" t="s">
        <v>203</v>
      </c>
      <c r="AG19" s="64" t="s">
        <v>203</v>
      </c>
      <c r="AH19" s="64" t="s">
        <v>203</v>
      </c>
      <c r="AI19" s="64" t="s">
        <v>203</v>
      </c>
      <c r="AJ19" s="65" t="s">
        <v>204</v>
      </c>
      <c r="AK19" s="65" t="s">
        <v>204</v>
      </c>
      <c r="AL19" s="65" t="s">
        <v>204</v>
      </c>
      <c r="AM19" s="65" t="s">
        <v>204</v>
      </c>
      <c r="AN19" s="65" t="s">
        <v>204</v>
      </c>
      <c r="AO19" s="65" t="s">
        <v>204</v>
      </c>
      <c r="AP19" s="65" t="s">
        <v>204</v>
      </c>
      <c r="AQ19" s="65" t="s">
        <v>204</v>
      </c>
      <c r="AR19" s="65" t="s">
        <v>204</v>
      </c>
      <c r="AS19" s="65" t="s">
        <v>204</v>
      </c>
      <c r="AT19" s="65" t="s">
        <v>204</v>
      </c>
      <c r="AU19" s="65" t="s">
        <v>204</v>
      </c>
      <c r="AV19" s="65" t="s">
        <v>204</v>
      </c>
      <c r="AW19" s="65" t="s">
        <v>204</v>
      </c>
      <c r="AX19" s="65" t="s">
        <v>204</v>
      </c>
      <c r="AY19" s="65" t="s">
        <v>204</v>
      </c>
      <c r="AZ19" s="65" t="s">
        <v>204</v>
      </c>
      <c r="BA19" s="65" t="s">
        <v>204</v>
      </c>
    </row>
    <row r="20" customFormat="false" ht="15" hidden="false" customHeight="true" outlineLevel="0" collapsed="false">
      <c r="A20" s="61" t="s">
        <v>233</v>
      </c>
      <c r="B20" s="62" t="s">
        <v>234</v>
      </c>
      <c r="C20" s="63" t="s">
        <v>202</v>
      </c>
      <c r="D20" s="63" t="s">
        <v>202</v>
      </c>
      <c r="E20" s="63" t="s">
        <v>202</v>
      </c>
      <c r="F20" s="63" t="s">
        <v>202</v>
      </c>
      <c r="G20" s="63" t="s">
        <v>202</v>
      </c>
      <c r="H20" s="63" t="s">
        <v>202</v>
      </c>
      <c r="I20" s="63" t="s">
        <v>202</v>
      </c>
      <c r="J20" s="63" t="s">
        <v>202</v>
      </c>
      <c r="K20" s="63" t="s">
        <v>202</v>
      </c>
      <c r="L20" s="63" t="s">
        <v>202</v>
      </c>
      <c r="M20" s="63" t="s">
        <v>202</v>
      </c>
      <c r="N20" s="63" t="s">
        <v>202</v>
      </c>
      <c r="O20" s="63" t="s">
        <v>202</v>
      </c>
      <c r="P20" s="64" t="s">
        <v>203</v>
      </c>
      <c r="Q20" s="64" t="s">
        <v>203</v>
      </c>
      <c r="R20" s="64" t="s">
        <v>203</v>
      </c>
      <c r="S20" s="64" t="s">
        <v>203</v>
      </c>
      <c r="T20" s="64" t="s">
        <v>203</v>
      </c>
      <c r="U20" s="64" t="s">
        <v>203</v>
      </c>
      <c r="V20" s="64" t="s">
        <v>203</v>
      </c>
      <c r="W20" s="64" t="s">
        <v>203</v>
      </c>
      <c r="X20" s="64" t="s">
        <v>203</v>
      </c>
      <c r="Y20" s="64" t="s">
        <v>203</v>
      </c>
      <c r="Z20" s="64" t="s">
        <v>203</v>
      </c>
      <c r="AA20" s="64" t="s">
        <v>203</v>
      </c>
      <c r="AB20" s="64" t="s">
        <v>203</v>
      </c>
      <c r="AC20" s="64" t="s">
        <v>203</v>
      </c>
      <c r="AD20" s="64" t="s">
        <v>203</v>
      </c>
      <c r="AE20" s="64" t="s">
        <v>203</v>
      </c>
      <c r="AF20" s="64" t="s">
        <v>203</v>
      </c>
      <c r="AG20" s="64" t="s">
        <v>203</v>
      </c>
      <c r="AH20" s="64" t="s">
        <v>203</v>
      </c>
      <c r="AI20" s="64" t="s">
        <v>203</v>
      </c>
      <c r="AJ20" s="65" t="s">
        <v>204</v>
      </c>
      <c r="AK20" s="65" t="s">
        <v>204</v>
      </c>
      <c r="AL20" s="65" t="s">
        <v>204</v>
      </c>
      <c r="AM20" s="65" t="s">
        <v>204</v>
      </c>
      <c r="AN20" s="65" t="s">
        <v>204</v>
      </c>
      <c r="AO20" s="65" t="s">
        <v>204</v>
      </c>
      <c r="AP20" s="65" t="s">
        <v>204</v>
      </c>
      <c r="AQ20" s="65" t="s">
        <v>204</v>
      </c>
      <c r="AR20" s="65" t="s">
        <v>204</v>
      </c>
      <c r="AS20" s="65" t="s">
        <v>204</v>
      </c>
      <c r="AT20" s="65" t="s">
        <v>204</v>
      </c>
      <c r="AU20" s="65" t="s">
        <v>204</v>
      </c>
      <c r="AV20" s="65" t="s">
        <v>204</v>
      </c>
      <c r="AW20" s="65" t="s">
        <v>204</v>
      </c>
      <c r="AX20" s="65" t="s">
        <v>204</v>
      </c>
      <c r="AY20" s="65" t="s">
        <v>204</v>
      </c>
      <c r="AZ20" s="65" t="s">
        <v>204</v>
      </c>
      <c r="BA20" s="65" t="s">
        <v>204</v>
      </c>
    </row>
    <row r="21" customFormat="false" ht="15" hidden="false" customHeight="true" outlineLevel="0" collapsed="false">
      <c r="A21" s="61" t="s">
        <v>235</v>
      </c>
      <c r="B21" s="62" t="s">
        <v>236</v>
      </c>
      <c r="C21" s="63" t="s">
        <v>202</v>
      </c>
      <c r="D21" s="63" t="s">
        <v>202</v>
      </c>
      <c r="E21" s="63" t="s">
        <v>202</v>
      </c>
      <c r="F21" s="63" t="s">
        <v>202</v>
      </c>
      <c r="G21" s="63" t="s">
        <v>202</v>
      </c>
      <c r="H21" s="63" t="s">
        <v>202</v>
      </c>
      <c r="I21" s="63" t="s">
        <v>202</v>
      </c>
      <c r="J21" s="63" t="s">
        <v>202</v>
      </c>
      <c r="K21" s="63" t="s">
        <v>202</v>
      </c>
      <c r="L21" s="63" t="s">
        <v>202</v>
      </c>
      <c r="M21" s="63" t="s">
        <v>202</v>
      </c>
      <c r="N21" s="63" t="s">
        <v>202</v>
      </c>
      <c r="O21" s="63" t="s">
        <v>202</v>
      </c>
      <c r="P21" s="64" t="s">
        <v>203</v>
      </c>
      <c r="Q21" s="64" t="s">
        <v>203</v>
      </c>
      <c r="R21" s="64" t="s">
        <v>203</v>
      </c>
      <c r="S21" s="64" t="s">
        <v>203</v>
      </c>
      <c r="T21" s="64" t="s">
        <v>203</v>
      </c>
      <c r="U21" s="64" t="s">
        <v>203</v>
      </c>
      <c r="V21" s="64" t="s">
        <v>203</v>
      </c>
      <c r="W21" s="64" t="s">
        <v>203</v>
      </c>
      <c r="X21" s="64" t="s">
        <v>203</v>
      </c>
      <c r="Y21" s="64" t="s">
        <v>203</v>
      </c>
      <c r="Z21" s="64" t="s">
        <v>203</v>
      </c>
      <c r="AA21" s="64" t="s">
        <v>203</v>
      </c>
      <c r="AB21" s="64" t="s">
        <v>203</v>
      </c>
      <c r="AC21" s="64" t="s">
        <v>203</v>
      </c>
      <c r="AD21" s="64" t="s">
        <v>203</v>
      </c>
      <c r="AE21" s="64" t="s">
        <v>203</v>
      </c>
      <c r="AF21" s="64" t="s">
        <v>203</v>
      </c>
      <c r="AG21" s="64" t="s">
        <v>203</v>
      </c>
      <c r="AH21" s="64" t="s">
        <v>203</v>
      </c>
      <c r="AI21" s="64" t="s">
        <v>203</v>
      </c>
      <c r="AJ21" s="65" t="s">
        <v>204</v>
      </c>
      <c r="AK21" s="65" t="s">
        <v>204</v>
      </c>
      <c r="AL21" s="65" t="s">
        <v>204</v>
      </c>
      <c r="AM21" s="65" t="s">
        <v>204</v>
      </c>
      <c r="AN21" s="65" t="s">
        <v>204</v>
      </c>
      <c r="AO21" s="65" t="s">
        <v>204</v>
      </c>
      <c r="AP21" s="65" t="s">
        <v>204</v>
      </c>
      <c r="AQ21" s="65" t="s">
        <v>204</v>
      </c>
      <c r="AR21" s="65" t="s">
        <v>204</v>
      </c>
      <c r="AS21" s="65" t="s">
        <v>204</v>
      </c>
      <c r="AT21" s="65" t="s">
        <v>204</v>
      </c>
      <c r="AU21" s="65" t="s">
        <v>204</v>
      </c>
      <c r="AV21" s="65" t="s">
        <v>204</v>
      </c>
      <c r="AW21" s="65" t="s">
        <v>204</v>
      </c>
      <c r="AX21" s="65" t="s">
        <v>204</v>
      </c>
      <c r="AY21" s="65" t="s">
        <v>204</v>
      </c>
      <c r="AZ21" s="65" t="s">
        <v>204</v>
      </c>
      <c r="BA21" s="65" t="s">
        <v>204</v>
      </c>
    </row>
    <row r="22" customFormat="false" ht="15" hidden="false" customHeight="true" outlineLevel="0" collapsed="false">
      <c r="A22" s="61" t="s">
        <v>237</v>
      </c>
      <c r="B22" s="62" t="s">
        <v>238</v>
      </c>
      <c r="C22" s="63" t="s">
        <v>202</v>
      </c>
      <c r="D22" s="63" t="s">
        <v>202</v>
      </c>
      <c r="E22" s="63" t="s">
        <v>202</v>
      </c>
      <c r="F22" s="63" t="s">
        <v>202</v>
      </c>
      <c r="G22" s="63" t="s">
        <v>202</v>
      </c>
      <c r="H22" s="63" t="s">
        <v>202</v>
      </c>
      <c r="I22" s="63" t="s">
        <v>202</v>
      </c>
      <c r="J22" s="63" t="s">
        <v>202</v>
      </c>
      <c r="K22" s="63" t="s">
        <v>202</v>
      </c>
      <c r="L22" s="63" t="s">
        <v>202</v>
      </c>
      <c r="M22" s="63" t="s">
        <v>202</v>
      </c>
      <c r="N22" s="63" t="s">
        <v>202</v>
      </c>
      <c r="O22" s="63" t="s">
        <v>202</v>
      </c>
      <c r="P22" s="64" t="s">
        <v>203</v>
      </c>
      <c r="Q22" s="64" t="s">
        <v>203</v>
      </c>
      <c r="R22" s="64" t="s">
        <v>203</v>
      </c>
      <c r="S22" s="64" t="s">
        <v>203</v>
      </c>
      <c r="T22" s="64" t="s">
        <v>203</v>
      </c>
      <c r="U22" s="64" t="s">
        <v>203</v>
      </c>
      <c r="V22" s="64" t="s">
        <v>203</v>
      </c>
      <c r="W22" s="64" t="s">
        <v>203</v>
      </c>
      <c r="X22" s="64" t="s">
        <v>203</v>
      </c>
      <c r="Y22" s="64" t="s">
        <v>203</v>
      </c>
      <c r="Z22" s="64" t="s">
        <v>203</v>
      </c>
      <c r="AA22" s="64" t="s">
        <v>203</v>
      </c>
      <c r="AB22" s="64" t="s">
        <v>203</v>
      </c>
      <c r="AC22" s="64" t="s">
        <v>203</v>
      </c>
      <c r="AD22" s="64" t="s">
        <v>203</v>
      </c>
      <c r="AE22" s="64" t="s">
        <v>203</v>
      </c>
      <c r="AF22" s="64" t="s">
        <v>203</v>
      </c>
      <c r="AG22" s="64" t="s">
        <v>203</v>
      </c>
      <c r="AH22" s="64" t="s">
        <v>203</v>
      </c>
      <c r="AI22" s="64" t="s">
        <v>203</v>
      </c>
      <c r="AJ22" s="65" t="s">
        <v>204</v>
      </c>
      <c r="AK22" s="65" t="s">
        <v>204</v>
      </c>
      <c r="AL22" s="65" t="s">
        <v>204</v>
      </c>
      <c r="AM22" s="65" t="s">
        <v>204</v>
      </c>
      <c r="AN22" s="65" t="s">
        <v>204</v>
      </c>
      <c r="AO22" s="65" t="s">
        <v>204</v>
      </c>
      <c r="AP22" s="65" t="s">
        <v>204</v>
      </c>
      <c r="AQ22" s="65" t="s">
        <v>204</v>
      </c>
      <c r="AR22" s="65" t="s">
        <v>204</v>
      </c>
      <c r="AS22" s="65" t="s">
        <v>204</v>
      </c>
      <c r="AT22" s="65" t="s">
        <v>204</v>
      </c>
      <c r="AU22" s="65" t="s">
        <v>204</v>
      </c>
      <c r="AV22" s="65" t="s">
        <v>204</v>
      </c>
      <c r="AW22" s="65" t="s">
        <v>204</v>
      </c>
      <c r="AX22" s="65" t="s">
        <v>204</v>
      </c>
      <c r="AY22" s="65" t="s">
        <v>204</v>
      </c>
      <c r="AZ22" s="65" t="s">
        <v>204</v>
      </c>
      <c r="BA22" s="65" t="s">
        <v>204</v>
      </c>
    </row>
    <row r="23" customFormat="false" ht="15" hidden="false" customHeight="true" outlineLevel="0" collapsed="false">
      <c r="A23" s="61" t="s">
        <v>239</v>
      </c>
      <c r="B23" s="62" t="s">
        <v>240</v>
      </c>
      <c r="C23" s="63" t="s">
        <v>202</v>
      </c>
      <c r="D23" s="63" t="s">
        <v>202</v>
      </c>
      <c r="E23" s="63" t="s">
        <v>202</v>
      </c>
      <c r="F23" s="63" t="s">
        <v>202</v>
      </c>
      <c r="G23" s="63" t="s">
        <v>202</v>
      </c>
      <c r="H23" s="63" t="s">
        <v>202</v>
      </c>
      <c r="I23" s="63" t="s">
        <v>202</v>
      </c>
      <c r="J23" s="63" t="s">
        <v>202</v>
      </c>
      <c r="K23" s="63" t="s">
        <v>202</v>
      </c>
      <c r="L23" s="63" t="s">
        <v>202</v>
      </c>
      <c r="M23" s="63" t="s">
        <v>202</v>
      </c>
      <c r="N23" s="63" t="s">
        <v>202</v>
      </c>
      <c r="O23" s="63" t="s">
        <v>202</v>
      </c>
      <c r="P23" s="64" t="s">
        <v>203</v>
      </c>
      <c r="Q23" s="64" t="s">
        <v>203</v>
      </c>
      <c r="R23" s="64" t="s">
        <v>203</v>
      </c>
      <c r="S23" s="64" t="s">
        <v>203</v>
      </c>
      <c r="T23" s="64" t="s">
        <v>203</v>
      </c>
      <c r="U23" s="64" t="s">
        <v>203</v>
      </c>
      <c r="V23" s="64" t="s">
        <v>203</v>
      </c>
      <c r="W23" s="64" t="s">
        <v>203</v>
      </c>
      <c r="X23" s="64" t="s">
        <v>203</v>
      </c>
      <c r="Y23" s="64" t="s">
        <v>203</v>
      </c>
      <c r="Z23" s="64" t="s">
        <v>203</v>
      </c>
      <c r="AA23" s="64" t="s">
        <v>203</v>
      </c>
      <c r="AB23" s="64" t="s">
        <v>203</v>
      </c>
      <c r="AC23" s="64" t="s">
        <v>203</v>
      </c>
      <c r="AD23" s="64" t="s">
        <v>203</v>
      </c>
      <c r="AE23" s="64" t="s">
        <v>203</v>
      </c>
      <c r="AF23" s="64" t="s">
        <v>203</v>
      </c>
      <c r="AG23" s="64" t="s">
        <v>203</v>
      </c>
      <c r="AH23" s="64" t="s">
        <v>203</v>
      </c>
      <c r="AI23" s="64" t="s">
        <v>203</v>
      </c>
      <c r="AJ23" s="65" t="s">
        <v>204</v>
      </c>
      <c r="AK23" s="65" t="s">
        <v>204</v>
      </c>
      <c r="AL23" s="65" t="s">
        <v>204</v>
      </c>
      <c r="AM23" s="65" t="s">
        <v>204</v>
      </c>
      <c r="AN23" s="65" t="s">
        <v>204</v>
      </c>
      <c r="AO23" s="65" t="s">
        <v>204</v>
      </c>
      <c r="AP23" s="65" t="s">
        <v>204</v>
      </c>
      <c r="AQ23" s="65" t="s">
        <v>204</v>
      </c>
      <c r="AR23" s="65" t="s">
        <v>204</v>
      </c>
      <c r="AS23" s="65" t="s">
        <v>204</v>
      </c>
      <c r="AT23" s="65" t="s">
        <v>204</v>
      </c>
      <c r="AU23" s="65" t="s">
        <v>204</v>
      </c>
      <c r="AV23" s="65" t="s">
        <v>204</v>
      </c>
      <c r="AW23" s="65" t="s">
        <v>204</v>
      </c>
      <c r="AX23" s="65" t="s">
        <v>204</v>
      </c>
      <c r="AY23" s="65" t="s">
        <v>204</v>
      </c>
      <c r="AZ23" s="65" t="s">
        <v>204</v>
      </c>
      <c r="BA23" s="65" t="s">
        <v>204</v>
      </c>
    </row>
    <row r="24" customFormat="false" ht="15" hidden="false" customHeight="true" outlineLevel="0" collapsed="false">
      <c r="A24" s="61" t="s">
        <v>241</v>
      </c>
      <c r="B24" s="62" t="s">
        <v>242</v>
      </c>
      <c r="C24" s="63" t="s">
        <v>202</v>
      </c>
      <c r="D24" s="63" t="s">
        <v>202</v>
      </c>
      <c r="E24" s="63" t="s">
        <v>202</v>
      </c>
      <c r="F24" s="63" t="s">
        <v>202</v>
      </c>
      <c r="G24" s="63" t="s">
        <v>202</v>
      </c>
      <c r="H24" s="63" t="s">
        <v>202</v>
      </c>
      <c r="I24" s="63" t="s">
        <v>202</v>
      </c>
      <c r="J24" s="63" t="s">
        <v>202</v>
      </c>
      <c r="K24" s="63" t="s">
        <v>202</v>
      </c>
      <c r="L24" s="63" t="s">
        <v>202</v>
      </c>
      <c r="M24" s="63" t="s">
        <v>202</v>
      </c>
      <c r="N24" s="63" t="s">
        <v>202</v>
      </c>
      <c r="O24" s="63" t="s">
        <v>202</v>
      </c>
      <c r="P24" s="64" t="s">
        <v>203</v>
      </c>
      <c r="Q24" s="64" t="s">
        <v>203</v>
      </c>
      <c r="R24" s="64" t="s">
        <v>203</v>
      </c>
      <c r="S24" s="64" t="s">
        <v>203</v>
      </c>
      <c r="T24" s="64" t="s">
        <v>203</v>
      </c>
      <c r="U24" s="64" t="s">
        <v>203</v>
      </c>
      <c r="V24" s="64" t="s">
        <v>203</v>
      </c>
      <c r="W24" s="64" t="s">
        <v>203</v>
      </c>
      <c r="X24" s="64" t="s">
        <v>203</v>
      </c>
      <c r="Y24" s="64" t="s">
        <v>203</v>
      </c>
      <c r="Z24" s="64" t="s">
        <v>203</v>
      </c>
      <c r="AA24" s="64" t="s">
        <v>203</v>
      </c>
      <c r="AB24" s="64" t="s">
        <v>203</v>
      </c>
      <c r="AC24" s="64" t="s">
        <v>203</v>
      </c>
      <c r="AD24" s="64" t="s">
        <v>203</v>
      </c>
      <c r="AE24" s="64" t="s">
        <v>203</v>
      </c>
      <c r="AF24" s="64" t="s">
        <v>203</v>
      </c>
      <c r="AG24" s="64" t="s">
        <v>203</v>
      </c>
      <c r="AH24" s="64" t="s">
        <v>203</v>
      </c>
      <c r="AI24" s="64" t="s">
        <v>203</v>
      </c>
      <c r="AJ24" s="65" t="s">
        <v>204</v>
      </c>
      <c r="AK24" s="65" t="s">
        <v>204</v>
      </c>
      <c r="AL24" s="65" t="s">
        <v>204</v>
      </c>
      <c r="AM24" s="65" t="s">
        <v>204</v>
      </c>
      <c r="AN24" s="65" t="s">
        <v>204</v>
      </c>
      <c r="AO24" s="65" t="s">
        <v>204</v>
      </c>
      <c r="AP24" s="65" t="s">
        <v>204</v>
      </c>
      <c r="AQ24" s="65" t="s">
        <v>204</v>
      </c>
      <c r="AR24" s="65" t="s">
        <v>204</v>
      </c>
      <c r="AS24" s="65" t="s">
        <v>204</v>
      </c>
      <c r="AT24" s="65" t="s">
        <v>204</v>
      </c>
      <c r="AU24" s="65" t="s">
        <v>204</v>
      </c>
      <c r="AV24" s="65" t="s">
        <v>204</v>
      </c>
      <c r="AW24" s="65" t="s">
        <v>204</v>
      </c>
      <c r="AX24" s="65" t="s">
        <v>204</v>
      </c>
      <c r="AY24" s="65" t="s">
        <v>204</v>
      </c>
      <c r="AZ24" s="65" t="s">
        <v>204</v>
      </c>
      <c r="BA24" s="65" t="s">
        <v>204</v>
      </c>
    </row>
    <row r="25" customFormat="false" ht="15" hidden="false" customHeight="true" outlineLevel="0" collapsed="false">
      <c r="A25" s="61" t="s">
        <v>243</v>
      </c>
      <c r="B25" s="62" t="s">
        <v>244</v>
      </c>
      <c r="C25" s="63" t="s">
        <v>202</v>
      </c>
      <c r="D25" s="63" t="s">
        <v>202</v>
      </c>
      <c r="E25" s="63" t="s">
        <v>202</v>
      </c>
      <c r="F25" s="63" t="s">
        <v>202</v>
      </c>
      <c r="G25" s="63" t="s">
        <v>202</v>
      </c>
      <c r="H25" s="63" t="s">
        <v>202</v>
      </c>
      <c r="I25" s="63" t="s">
        <v>202</v>
      </c>
      <c r="J25" s="63" t="s">
        <v>202</v>
      </c>
      <c r="K25" s="63" t="s">
        <v>202</v>
      </c>
      <c r="L25" s="63" t="s">
        <v>202</v>
      </c>
      <c r="M25" s="63" t="s">
        <v>202</v>
      </c>
      <c r="N25" s="63" t="s">
        <v>202</v>
      </c>
      <c r="O25" s="63" t="s">
        <v>202</v>
      </c>
      <c r="P25" s="64" t="s">
        <v>203</v>
      </c>
      <c r="Q25" s="64" t="s">
        <v>203</v>
      </c>
      <c r="R25" s="64" t="s">
        <v>203</v>
      </c>
      <c r="S25" s="64" t="s">
        <v>203</v>
      </c>
      <c r="T25" s="64" t="s">
        <v>203</v>
      </c>
      <c r="U25" s="64" t="s">
        <v>203</v>
      </c>
      <c r="V25" s="64" t="s">
        <v>203</v>
      </c>
      <c r="W25" s="64" t="s">
        <v>203</v>
      </c>
      <c r="X25" s="64" t="s">
        <v>203</v>
      </c>
      <c r="Y25" s="64" t="s">
        <v>203</v>
      </c>
      <c r="Z25" s="64" t="s">
        <v>203</v>
      </c>
      <c r="AA25" s="64" t="s">
        <v>203</v>
      </c>
      <c r="AB25" s="64" t="s">
        <v>203</v>
      </c>
      <c r="AC25" s="64" t="s">
        <v>203</v>
      </c>
      <c r="AD25" s="64" t="s">
        <v>203</v>
      </c>
      <c r="AE25" s="64" t="s">
        <v>203</v>
      </c>
      <c r="AF25" s="64" t="s">
        <v>203</v>
      </c>
      <c r="AG25" s="64" t="s">
        <v>203</v>
      </c>
      <c r="AH25" s="64" t="s">
        <v>203</v>
      </c>
      <c r="AI25" s="64" t="s">
        <v>203</v>
      </c>
      <c r="AJ25" s="65" t="s">
        <v>204</v>
      </c>
      <c r="AK25" s="65" t="s">
        <v>204</v>
      </c>
      <c r="AL25" s="65" t="s">
        <v>204</v>
      </c>
      <c r="AM25" s="65" t="s">
        <v>204</v>
      </c>
      <c r="AN25" s="65" t="s">
        <v>204</v>
      </c>
      <c r="AO25" s="65" t="s">
        <v>204</v>
      </c>
      <c r="AP25" s="65" t="s">
        <v>204</v>
      </c>
      <c r="AQ25" s="65" t="s">
        <v>204</v>
      </c>
      <c r="AR25" s="65" t="s">
        <v>204</v>
      </c>
      <c r="AS25" s="65" t="s">
        <v>204</v>
      </c>
      <c r="AT25" s="65" t="s">
        <v>204</v>
      </c>
      <c r="AU25" s="65" t="s">
        <v>204</v>
      </c>
      <c r="AV25" s="65" t="s">
        <v>204</v>
      </c>
      <c r="AW25" s="65" t="s">
        <v>204</v>
      </c>
      <c r="AX25" s="65" t="s">
        <v>204</v>
      </c>
      <c r="AY25" s="65" t="s">
        <v>204</v>
      </c>
      <c r="AZ25" s="65" t="s">
        <v>204</v>
      </c>
      <c r="BA25" s="65" t="s">
        <v>204</v>
      </c>
    </row>
    <row r="26" customFormat="false" ht="15" hidden="false" customHeight="true" outlineLevel="0" collapsed="false">
      <c r="A26" s="61" t="s">
        <v>245</v>
      </c>
      <c r="B26" s="62" t="s">
        <v>246</v>
      </c>
      <c r="C26" s="63" t="s">
        <v>202</v>
      </c>
      <c r="D26" s="63" t="s">
        <v>202</v>
      </c>
      <c r="E26" s="63" t="s">
        <v>202</v>
      </c>
      <c r="F26" s="63" t="s">
        <v>202</v>
      </c>
      <c r="G26" s="63" t="s">
        <v>202</v>
      </c>
      <c r="H26" s="63" t="s">
        <v>202</v>
      </c>
      <c r="I26" s="63" t="s">
        <v>202</v>
      </c>
      <c r="J26" s="63" t="s">
        <v>202</v>
      </c>
      <c r="K26" s="63" t="s">
        <v>202</v>
      </c>
      <c r="L26" s="63" t="s">
        <v>202</v>
      </c>
      <c r="M26" s="63" t="s">
        <v>202</v>
      </c>
      <c r="N26" s="63" t="s">
        <v>202</v>
      </c>
      <c r="O26" s="63" t="s">
        <v>202</v>
      </c>
      <c r="P26" s="64" t="s">
        <v>203</v>
      </c>
      <c r="Q26" s="64" t="s">
        <v>203</v>
      </c>
      <c r="R26" s="64" t="s">
        <v>203</v>
      </c>
      <c r="S26" s="64" t="s">
        <v>203</v>
      </c>
      <c r="T26" s="64" t="s">
        <v>203</v>
      </c>
      <c r="U26" s="64" t="s">
        <v>203</v>
      </c>
      <c r="V26" s="64" t="s">
        <v>203</v>
      </c>
      <c r="W26" s="64" t="s">
        <v>203</v>
      </c>
      <c r="X26" s="64" t="s">
        <v>203</v>
      </c>
      <c r="Y26" s="64" t="s">
        <v>203</v>
      </c>
      <c r="Z26" s="64" t="s">
        <v>203</v>
      </c>
      <c r="AA26" s="64" t="s">
        <v>203</v>
      </c>
      <c r="AB26" s="64" t="s">
        <v>203</v>
      </c>
      <c r="AC26" s="64" t="s">
        <v>203</v>
      </c>
      <c r="AD26" s="64" t="s">
        <v>203</v>
      </c>
      <c r="AE26" s="64" t="s">
        <v>203</v>
      </c>
      <c r="AF26" s="64" t="s">
        <v>203</v>
      </c>
      <c r="AG26" s="64" t="s">
        <v>203</v>
      </c>
      <c r="AH26" s="64" t="s">
        <v>203</v>
      </c>
      <c r="AI26" s="64" t="s">
        <v>203</v>
      </c>
      <c r="AJ26" s="65" t="s">
        <v>204</v>
      </c>
      <c r="AK26" s="65" t="s">
        <v>204</v>
      </c>
      <c r="AL26" s="65" t="s">
        <v>204</v>
      </c>
      <c r="AM26" s="65" t="s">
        <v>204</v>
      </c>
      <c r="AN26" s="65" t="s">
        <v>204</v>
      </c>
      <c r="AO26" s="65" t="s">
        <v>204</v>
      </c>
      <c r="AP26" s="65" t="s">
        <v>204</v>
      </c>
      <c r="AQ26" s="65" t="s">
        <v>204</v>
      </c>
      <c r="AR26" s="65" t="s">
        <v>204</v>
      </c>
      <c r="AS26" s="65" t="s">
        <v>204</v>
      </c>
      <c r="AT26" s="65" t="s">
        <v>204</v>
      </c>
      <c r="AU26" s="65" t="s">
        <v>204</v>
      </c>
      <c r="AV26" s="65" t="s">
        <v>204</v>
      </c>
      <c r="AW26" s="65" t="s">
        <v>204</v>
      </c>
      <c r="AX26" s="65" t="s">
        <v>204</v>
      </c>
      <c r="AY26" s="65" t="s">
        <v>204</v>
      </c>
      <c r="AZ26" s="65" t="s">
        <v>204</v>
      </c>
      <c r="BA26" s="65" t="s">
        <v>204</v>
      </c>
    </row>
    <row r="27" customFormat="false" ht="15" hidden="false" customHeight="true" outlineLevel="0" collapsed="false">
      <c r="A27" s="61" t="s">
        <v>247</v>
      </c>
      <c r="B27" s="62" t="s">
        <v>248</v>
      </c>
      <c r="C27" s="63" t="s">
        <v>202</v>
      </c>
      <c r="D27" s="63" t="s">
        <v>202</v>
      </c>
      <c r="E27" s="63" t="s">
        <v>202</v>
      </c>
      <c r="F27" s="63" t="s">
        <v>202</v>
      </c>
      <c r="G27" s="63" t="s">
        <v>202</v>
      </c>
      <c r="H27" s="63" t="s">
        <v>202</v>
      </c>
      <c r="I27" s="63" t="s">
        <v>202</v>
      </c>
      <c r="J27" s="63" t="s">
        <v>202</v>
      </c>
      <c r="K27" s="63" t="s">
        <v>202</v>
      </c>
      <c r="L27" s="63" t="s">
        <v>202</v>
      </c>
      <c r="M27" s="63" t="s">
        <v>202</v>
      </c>
      <c r="N27" s="63" t="s">
        <v>202</v>
      </c>
      <c r="O27" s="63" t="s">
        <v>202</v>
      </c>
      <c r="P27" s="64" t="s">
        <v>203</v>
      </c>
      <c r="Q27" s="64" t="s">
        <v>203</v>
      </c>
      <c r="R27" s="64" t="s">
        <v>203</v>
      </c>
      <c r="S27" s="64" t="s">
        <v>203</v>
      </c>
      <c r="T27" s="64" t="s">
        <v>203</v>
      </c>
      <c r="U27" s="64" t="s">
        <v>203</v>
      </c>
      <c r="V27" s="64" t="s">
        <v>203</v>
      </c>
      <c r="W27" s="64" t="s">
        <v>203</v>
      </c>
      <c r="X27" s="64" t="s">
        <v>203</v>
      </c>
      <c r="Y27" s="64" t="s">
        <v>203</v>
      </c>
      <c r="Z27" s="64" t="s">
        <v>203</v>
      </c>
      <c r="AA27" s="64" t="s">
        <v>203</v>
      </c>
      <c r="AB27" s="64" t="s">
        <v>203</v>
      </c>
      <c r="AC27" s="64" t="s">
        <v>203</v>
      </c>
      <c r="AD27" s="64" t="s">
        <v>203</v>
      </c>
      <c r="AE27" s="64" t="s">
        <v>203</v>
      </c>
      <c r="AF27" s="64" t="s">
        <v>203</v>
      </c>
      <c r="AG27" s="64" t="s">
        <v>203</v>
      </c>
      <c r="AH27" s="64" t="s">
        <v>203</v>
      </c>
      <c r="AI27" s="64" t="s">
        <v>203</v>
      </c>
      <c r="AJ27" s="65" t="s">
        <v>204</v>
      </c>
      <c r="AK27" s="65" t="s">
        <v>204</v>
      </c>
      <c r="AL27" s="65" t="s">
        <v>204</v>
      </c>
      <c r="AM27" s="65" t="s">
        <v>204</v>
      </c>
      <c r="AN27" s="65" t="s">
        <v>204</v>
      </c>
      <c r="AO27" s="65" t="s">
        <v>204</v>
      </c>
      <c r="AP27" s="65" t="s">
        <v>204</v>
      </c>
      <c r="AQ27" s="65" t="s">
        <v>204</v>
      </c>
      <c r="AR27" s="65" t="s">
        <v>204</v>
      </c>
      <c r="AS27" s="65" t="s">
        <v>204</v>
      </c>
      <c r="AT27" s="65" t="s">
        <v>204</v>
      </c>
      <c r="AU27" s="65" t="s">
        <v>204</v>
      </c>
      <c r="AV27" s="65" t="s">
        <v>204</v>
      </c>
      <c r="AW27" s="65" t="s">
        <v>204</v>
      </c>
      <c r="AX27" s="65" t="s">
        <v>204</v>
      </c>
      <c r="AY27" s="65" t="s">
        <v>204</v>
      </c>
      <c r="AZ27" s="65" t="s">
        <v>204</v>
      </c>
      <c r="BA27" s="65" t="s">
        <v>204</v>
      </c>
    </row>
    <row r="28" customFormat="false" ht="15" hidden="false" customHeight="true" outlineLevel="0" collapsed="false">
      <c r="A28" s="61" t="s">
        <v>249</v>
      </c>
      <c r="B28" s="62" t="s">
        <v>250</v>
      </c>
      <c r="C28" s="63" t="s">
        <v>202</v>
      </c>
      <c r="D28" s="63" t="s">
        <v>202</v>
      </c>
      <c r="E28" s="63" t="s">
        <v>202</v>
      </c>
      <c r="F28" s="63" t="s">
        <v>202</v>
      </c>
      <c r="G28" s="63" t="s">
        <v>202</v>
      </c>
      <c r="H28" s="63" t="s">
        <v>202</v>
      </c>
      <c r="I28" s="63" t="s">
        <v>202</v>
      </c>
      <c r="J28" s="63" t="s">
        <v>202</v>
      </c>
      <c r="K28" s="63" t="s">
        <v>202</v>
      </c>
      <c r="L28" s="63" t="s">
        <v>202</v>
      </c>
      <c r="M28" s="63" t="s">
        <v>202</v>
      </c>
      <c r="N28" s="63" t="s">
        <v>202</v>
      </c>
      <c r="O28" s="63" t="s">
        <v>202</v>
      </c>
      <c r="P28" s="64" t="s">
        <v>203</v>
      </c>
      <c r="Q28" s="64" t="s">
        <v>203</v>
      </c>
      <c r="R28" s="64" t="s">
        <v>203</v>
      </c>
      <c r="S28" s="64" t="s">
        <v>203</v>
      </c>
      <c r="T28" s="64" t="s">
        <v>203</v>
      </c>
      <c r="U28" s="64" t="s">
        <v>203</v>
      </c>
      <c r="V28" s="64" t="s">
        <v>203</v>
      </c>
      <c r="W28" s="64" t="s">
        <v>203</v>
      </c>
      <c r="X28" s="64" t="s">
        <v>203</v>
      </c>
      <c r="Y28" s="64" t="s">
        <v>203</v>
      </c>
      <c r="Z28" s="64" t="s">
        <v>203</v>
      </c>
      <c r="AA28" s="64" t="s">
        <v>203</v>
      </c>
      <c r="AB28" s="64" t="s">
        <v>203</v>
      </c>
      <c r="AC28" s="64" t="s">
        <v>203</v>
      </c>
      <c r="AD28" s="64" t="s">
        <v>203</v>
      </c>
      <c r="AE28" s="64" t="s">
        <v>203</v>
      </c>
      <c r="AF28" s="64" t="s">
        <v>203</v>
      </c>
      <c r="AG28" s="64" t="s">
        <v>203</v>
      </c>
      <c r="AH28" s="64" t="s">
        <v>203</v>
      </c>
      <c r="AI28" s="64" t="s">
        <v>203</v>
      </c>
      <c r="AJ28" s="65" t="s">
        <v>204</v>
      </c>
      <c r="AK28" s="65" t="s">
        <v>204</v>
      </c>
      <c r="AL28" s="65" t="s">
        <v>204</v>
      </c>
      <c r="AM28" s="65" t="s">
        <v>204</v>
      </c>
      <c r="AN28" s="65" t="s">
        <v>204</v>
      </c>
      <c r="AO28" s="65" t="s">
        <v>204</v>
      </c>
      <c r="AP28" s="65" t="s">
        <v>204</v>
      </c>
      <c r="AQ28" s="65" t="s">
        <v>204</v>
      </c>
      <c r="AR28" s="65" t="s">
        <v>204</v>
      </c>
      <c r="AS28" s="65" t="s">
        <v>204</v>
      </c>
      <c r="AT28" s="65" t="s">
        <v>204</v>
      </c>
      <c r="AU28" s="65" t="s">
        <v>204</v>
      </c>
      <c r="AV28" s="65" t="s">
        <v>204</v>
      </c>
      <c r="AW28" s="65" t="s">
        <v>204</v>
      </c>
      <c r="AX28" s="65" t="s">
        <v>204</v>
      </c>
      <c r="AY28" s="65" t="s">
        <v>204</v>
      </c>
      <c r="AZ28" s="65" t="s">
        <v>204</v>
      </c>
      <c r="BA28" s="65" t="s">
        <v>204</v>
      </c>
    </row>
    <row r="29" customFormat="false" ht="15" hidden="false" customHeight="true" outlineLevel="0" collapsed="false">
      <c r="A29" s="61" t="s">
        <v>251</v>
      </c>
      <c r="B29" s="62" t="s">
        <v>252</v>
      </c>
      <c r="C29" s="63" t="s">
        <v>202</v>
      </c>
      <c r="D29" s="63" t="s">
        <v>202</v>
      </c>
      <c r="E29" s="63" t="s">
        <v>202</v>
      </c>
      <c r="F29" s="63" t="s">
        <v>202</v>
      </c>
      <c r="G29" s="63" t="s">
        <v>202</v>
      </c>
      <c r="H29" s="63" t="s">
        <v>202</v>
      </c>
      <c r="I29" s="63" t="s">
        <v>202</v>
      </c>
      <c r="J29" s="63" t="s">
        <v>202</v>
      </c>
      <c r="K29" s="63" t="s">
        <v>202</v>
      </c>
      <c r="L29" s="63" t="s">
        <v>202</v>
      </c>
      <c r="M29" s="63" t="s">
        <v>202</v>
      </c>
      <c r="N29" s="63" t="s">
        <v>202</v>
      </c>
      <c r="O29" s="63" t="s">
        <v>202</v>
      </c>
      <c r="P29" s="64" t="s">
        <v>203</v>
      </c>
      <c r="Q29" s="64" t="s">
        <v>203</v>
      </c>
      <c r="R29" s="64" t="s">
        <v>203</v>
      </c>
      <c r="S29" s="64" t="s">
        <v>203</v>
      </c>
      <c r="T29" s="64" t="s">
        <v>203</v>
      </c>
      <c r="U29" s="64" t="s">
        <v>203</v>
      </c>
      <c r="V29" s="64" t="s">
        <v>203</v>
      </c>
      <c r="W29" s="64" t="s">
        <v>203</v>
      </c>
      <c r="X29" s="64" t="s">
        <v>203</v>
      </c>
      <c r="Y29" s="64" t="s">
        <v>203</v>
      </c>
      <c r="Z29" s="64" t="s">
        <v>203</v>
      </c>
      <c r="AA29" s="64" t="s">
        <v>203</v>
      </c>
      <c r="AB29" s="64" t="s">
        <v>203</v>
      </c>
      <c r="AC29" s="64" t="s">
        <v>203</v>
      </c>
      <c r="AD29" s="64" t="s">
        <v>203</v>
      </c>
      <c r="AE29" s="64" t="s">
        <v>203</v>
      </c>
      <c r="AF29" s="64" t="s">
        <v>203</v>
      </c>
      <c r="AG29" s="64" t="s">
        <v>203</v>
      </c>
      <c r="AH29" s="64" t="s">
        <v>203</v>
      </c>
      <c r="AI29" s="64" t="s">
        <v>203</v>
      </c>
      <c r="AJ29" s="65" t="s">
        <v>204</v>
      </c>
      <c r="AK29" s="65" t="s">
        <v>204</v>
      </c>
      <c r="AL29" s="65" t="s">
        <v>204</v>
      </c>
      <c r="AM29" s="65" t="s">
        <v>204</v>
      </c>
      <c r="AN29" s="65" t="s">
        <v>204</v>
      </c>
      <c r="AO29" s="65" t="s">
        <v>204</v>
      </c>
      <c r="AP29" s="65" t="s">
        <v>204</v>
      </c>
      <c r="AQ29" s="65" t="s">
        <v>204</v>
      </c>
      <c r="AR29" s="65" t="s">
        <v>204</v>
      </c>
      <c r="AS29" s="65" t="s">
        <v>204</v>
      </c>
      <c r="AT29" s="65" t="s">
        <v>204</v>
      </c>
      <c r="AU29" s="65" t="s">
        <v>204</v>
      </c>
      <c r="AV29" s="65" t="s">
        <v>204</v>
      </c>
      <c r="AW29" s="65" t="s">
        <v>204</v>
      </c>
      <c r="AX29" s="65" t="s">
        <v>204</v>
      </c>
      <c r="AY29" s="65" t="s">
        <v>204</v>
      </c>
      <c r="AZ29" s="65" t="s">
        <v>204</v>
      </c>
      <c r="BA29" s="65" t="s">
        <v>204</v>
      </c>
    </row>
    <row r="30" customFormat="false" ht="15" hidden="false" customHeight="true" outlineLevel="0" collapsed="false">
      <c r="A30" s="61" t="s">
        <v>253</v>
      </c>
      <c r="B30" s="62" t="s">
        <v>254</v>
      </c>
      <c r="C30" s="66" t="s">
        <v>255</v>
      </c>
      <c r="D30" s="66" t="s">
        <v>255</v>
      </c>
      <c r="E30" s="66" t="s">
        <v>255</v>
      </c>
      <c r="F30" s="66" t="s">
        <v>255</v>
      </c>
      <c r="G30" s="66" t="s">
        <v>255</v>
      </c>
      <c r="H30" s="66" t="s">
        <v>255</v>
      </c>
      <c r="I30" s="66" t="s">
        <v>255</v>
      </c>
      <c r="J30" s="66" t="s">
        <v>255</v>
      </c>
      <c r="K30" s="66" t="s">
        <v>255</v>
      </c>
      <c r="L30" s="66" t="s">
        <v>255</v>
      </c>
      <c r="M30" s="66" t="s">
        <v>255</v>
      </c>
      <c r="N30" s="66" t="s">
        <v>255</v>
      </c>
      <c r="O30" s="66" t="s">
        <v>255</v>
      </c>
      <c r="P30" s="66" t="s">
        <v>255</v>
      </c>
      <c r="Q30" s="66" t="s">
        <v>255</v>
      </c>
      <c r="R30" s="66" t="s">
        <v>255</v>
      </c>
      <c r="S30" s="66" t="s">
        <v>255</v>
      </c>
      <c r="T30" s="66" t="s">
        <v>255</v>
      </c>
      <c r="U30" s="66" t="s">
        <v>255</v>
      </c>
      <c r="V30" s="66" t="s">
        <v>255</v>
      </c>
      <c r="W30" s="66" t="s">
        <v>255</v>
      </c>
      <c r="X30" s="66" t="s">
        <v>255</v>
      </c>
      <c r="Y30" s="66" t="s">
        <v>255</v>
      </c>
      <c r="Z30" s="66" t="s">
        <v>255</v>
      </c>
      <c r="AA30" s="66" t="s">
        <v>255</v>
      </c>
      <c r="AB30" s="66" t="s">
        <v>255</v>
      </c>
      <c r="AC30" s="66" t="s">
        <v>255</v>
      </c>
      <c r="AD30" s="66" t="s">
        <v>255</v>
      </c>
      <c r="AE30" s="66" t="s">
        <v>255</v>
      </c>
      <c r="AF30" s="66" t="s">
        <v>255</v>
      </c>
      <c r="AG30" s="66" t="s">
        <v>255</v>
      </c>
      <c r="AH30" s="66" t="s">
        <v>255</v>
      </c>
      <c r="AI30" s="66" t="s">
        <v>255</v>
      </c>
      <c r="AJ30" s="66" t="s">
        <v>255</v>
      </c>
      <c r="AK30" s="66" t="s">
        <v>255</v>
      </c>
      <c r="AL30" s="66" t="s">
        <v>255</v>
      </c>
      <c r="AM30" s="66" t="s">
        <v>255</v>
      </c>
      <c r="AN30" s="66" t="s">
        <v>255</v>
      </c>
      <c r="AO30" s="66" t="s">
        <v>255</v>
      </c>
      <c r="AP30" s="66" t="s">
        <v>255</v>
      </c>
      <c r="AQ30" s="66" t="s">
        <v>255</v>
      </c>
      <c r="AR30" s="66" t="s">
        <v>255</v>
      </c>
      <c r="AS30" s="66" t="s">
        <v>255</v>
      </c>
      <c r="AT30" s="66" t="s">
        <v>255</v>
      </c>
      <c r="AU30" s="66" t="s">
        <v>255</v>
      </c>
      <c r="AV30" s="66" t="s">
        <v>255</v>
      </c>
      <c r="AW30" s="66" t="s">
        <v>255</v>
      </c>
      <c r="AX30" s="66" t="s">
        <v>255</v>
      </c>
      <c r="AY30" s="66" t="s">
        <v>255</v>
      </c>
      <c r="AZ30" s="66" t="s">
        <v>255</v>
      </c>
      <c r="BA30" s="66" t="s">
        <v>255</v>
      </c>
    </row>
    <row r="31" customFormat="false" ht="15" hidden="false" customHeight="true" outlineLevel="0" collapsed="false">
      <c r="A31" s="61" t="s">
        <v>256</v>
      </c>
      <c r="B31" s="62" t="s">
        <v>257</v>
      </c>
      <c r="C31" s="66" t="s">
        <v>39</v>
      </c>
      <c r="D31" s="66" t="s">
        <v>39</v>
      </c>
      <c r="E31" s="66" t="s">
        <v>39</v>
      </c>
      <c r="F31" s="66" t="s">
        <v>39</v>
      </c>
      <c r="G31" s="66" t="s">
        <v>39</v>
      </c>
      <c r="H31" s="66" t="s">
        <v>39</v>
      </c>
      <c r="I31" s="66" t="s">
        <v>39</v>
      </c>
      <c r="J31" s="66" t="s">
        <v>39</v>
      </c>
      <c r="K31" s="66" t="s">
        <v>39</v>
      </c>
      <c r="L31" s="66" t="s">
        <v>39</v>
      </c>
      <c r="M31" s="66" t="s">
        <v>39</v>
      </c>
      <c r="N31" s="66" t="s">
        <v>39</v>
      </c>
      <c r="O31" s="66" t="s">
        <v>39</v>
      </c>
      <c r="P31" s="66" t="s">
        <v>39</v>
      </c>
      <c r="Q31" s="66" t="s">
        <v>39</v>
      </c>
      <c r="R31" s="66" t="s">
        <v>39</v>
      </c>
      <c r="S31" s="66" t="s">
        <v>39</v>
      </c>
      <c r="T31" s="66" t="s">
        <v>39</v>
      </c>
      <c r="U31" s="66" t="s">
        <v>39</v>
      </c>
      <c r="V31" s="66" t="s">
        <v>39</v>
      </c>
      <c r="W31" s="66" t="s">
        <v>39</v>
      </c>
      <c r="X31" s="66" t="s">
        <v>39</v>
      </c>
      <c r="Y31" s="66" t="s">
        <v>39</v>
      </c>
      <c r="Z31" s="66" t="s">
        <v>39</v>
      </c>
      <c r="AA31" s="66" t="s">
        <v>39</v>
      </c>
      <c r="AB31" s="66" t="s">
        <v>39</v>
      </c>
      <c r="AC31" s="66" t="s">
        <v>39</v>
      </c>
      <c r="AD31" s="66" t="s">
        <v>39</v>
      </c>
      <c r="AE31" s="66" t="s">
        <v>39</v>
      </c>
      <c r="AF31" s="66" t="s">
        <v>39</v>
      </c>
      <c r="AG31" s="66" t="s">
        <v>39</v>
      </c>
      <c r="AH31" s="66" t="s">
        <v>39</v>
      </c>
      <c r="AI31" s="66" t="s">
        <v>39</v>
      </c>
      <c r="AJ31" s="66" t="s">
        <v>39</v>
      </c>
      <c r="AK31" s="66" t="s">
        <v>39</v>
      </c>
      <c r="AL31" s="66" t="s">
        <v>39</v>
      </c>
      <c r="AM31" s="66" t="s">
        <v>39</v>
      </c>
      <c r="AN31" s="66" t="s">
        <v>39</v>
      </c>
      <c r="AO31" s="66" t="s">
        <v>39</v>
      </c>
      <c r="AP31" s="66" t="s">
        <v>39</v>
      </c>
      <c r="AQ31" s="66" t="s">
        <v>39</v>
      </c>
      <c r="AR31" s="66" t="s">
        <v>39</v>
      </c>
      <c r="AS31" s="66" t="s">
        <v>39</v>
      </c>
      <c r="AT31" s="66" t="s">
        <v>39</v>
      </c>
      <c r="AU31" s="66" t="s">
        <v>39</v>
      </c>
      <c r="AV31" s="66" t="s">
        <v>39</v>
      </c>
      <c r="AW31" s="66" t="s">
        <v>39</v>
      </c>
      <c r="AX31" s="66" t="s">
        <v>39</v>
      </c>
      <c r="AY31" s="66" t="s">
        <v>39</v>
      </c>
      <c r="AZ31" s="66" t="s">
        <v>39</v>
      </c>
      <c r="BA31" s="66" t="s">
        <v>39</v>
      </c>
    </row>
    <row r="34" customFormat="false" ht="15" hidden="false" customHeight="true" outlineLevel="0" collapsed="false">
      <c r="A34" s="5" t="s">
        <v>258</v>
      </c>
    </row>
    <row r="35" customFormat="false" ht="15" hidden="false" customHeight="true" outlineLevel="0" collapsed="false">
      <c r="A35" s="67" t="s">
        <v>202</v>
      </c>
      <c r="B35" s="68" t="s">
        <v>259</v>
      </c>
      <c r="C35" s="68"/>
      <c r="D35" s="68"/>
      <c r="E35" s="68"/>
      <c r="F35" s="68"/>
      <c r="G35" s="68"/>
      <c r="H35" s="68"/>
    </row>
    <row r="36" customFormat="false" ht="15" hidden="false" customHeight="true" outlineLevel="0" collapsed="false">
      <c r="A36" s="69" t="s">
        <v>203</v>
      </c>
      <c r="B36" s="68" t="s">
        <v>260</v>
      </c>
      <c r="C36" s="68"/>
      <c r="D36" s="68"/>
      <c r="E36" s="68"/>
      <c r="F36" s="68"/>
      <c r="G36" s="68"/>
      <c r="H36" s="68"/>
    </row>
    <row r="37" customFormat="false" ht="15" hidden="false" customHeight="true" outlineLevel="0" collapsed="false">
      <c r="A37" s="70" t="s">
        <v>204</v>
      </c>
      <c r="B37" s="68" t="s">
        <v>261</v>
      </c>
      <c r="C37" s="68"/>
      <c r="D37" s="68"/>
      <c r="E37" s="68"/>
      <c r="F37" s="68"/>
      <c r="G37" s="68"/>
      <c r="H37" s="68"/>
    </row>
    <row r="38" customFormat="false" ht="15" hidden="false" customHeight="true" outlineLevel="0" collapsed="false">
      <c r="A38" s="71" t="s">
        <v>39</v>
      </c>
      <c r="B38" s="68" t="s">
        <v>262</v>
      </c>
      <c r="C38" s="68"/>
      <c r="D38" s="68"/>
      <c r="E38" s="68"/>
      <c r="F38" s="68"/>
      <c r="G38" s="68"/>
      <c r="H38" s="68"/>
    </row>
  </sheetData>
  <mergeCells count="9">
    <mergeCell ref="A1:BA1"/>
    <mergeCell ref="A2:BA2"/>
    <mergeCell ref="C3:O3"/>
    <mergeCell ref="P3:AI3"/>
    <mergeCell ref="AJ3:BA3"/>
    <mergeCell ref="B35:H35"/>
    <mergeCell ref="B36:H36"/>
    <mergeCell ref="B37:H37"/>
    <mergeCell ref="B38:H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8"/>
    <col collapsed="false" customWidth="true" hidden="false" outlineLevel="0" max="9" min="3" style="1" width="14"/>
  </cols>
  <sheetData>
    <row r="1" customFormat="false" ht="24" hidden="false" customHeight="true" outlineLevel="0" collapsed="false">
      <c r="A1" s="2" t="s">
        <v>263</v>
      </c>
      <c r="B1" s="2"/>
      <c r="C1" s="2"/>
      <c r="D1" s="2"/>
      <c r="E1" s="2"/>
      <c r="F1" s="2"/>
      <c r="G1" s="2"/>
      <c r="H1" s="2"/>
      <c r="I1" s="2"/>
    </row>
    <row r="2" customFormat="false" ht="15" hidden="false" customHeight="true" outlineLevel="0" collapsed="false">
      <c r="A2" s="19" t="s">
        <v>264</v>
      </c>
      <c r="B2" s="19"/>
      <c r="C2" s="19"/>
      <c r="D2" s="19"/>
      <c r="E2" s="19"/>
      <c r="F2" s="19"/>
      <c r="G2" s="19"/>
      <c r="H2" s="19"/>
      <c r="I2" s="19"/>
    </row>
    <row r="3" customFormat="false" ht="30" hidden="false" customHeight="true" outlineLevel="0" collapsed="false">
      <c r="A3" s="72" t="s">
        <v>265</v>
      </c>
      <c r="B3" s="72"/>
      <c r="C3" s="72"/>
      <c r="D3" s="72"/>
      <c r="E3" s="72"/>
      <c r="F3" s="72"/>
      <c r="G3" s="72"/>
      <c r="H3" s="72"/>
      <c r="I3" s="72"/>
    </row>
    <row r="4" customFormat="false" ht="30" hidden="false" customHeight="true" outlineLevel="0" collapsed="false">
      <c r="A4" s="21" t="s">
        <v>266</v>
      </c>
      <c r="B4" s="21" t="s">
        <v>267</v>
      </c>
      <c r="C4" s="21" t="s">
        <v>268</v>
      </c>
      <c r="D4" s="21" t="s">
        <v>269</v>
      </c>
      <c r="E4" s="21" t="s">
        <v>270</v>
      </c>
      <c r="F4" s="21" t="s">
        <v>271</v>
      </c>
      <c r="G4" s="21" t="s">
        <v>272</v>
      </c>
      <c r="H4" s="21" t="s">
        <v>273</v>
      </c>
      <c r="I4" s="21" t="s">
        <v>274</v>
      </c>
    </row>
    <row r="5" customFormat="false" ht="15" hidden="false" customHeight="true" outlineLevel="0" collapsed="false">
      <c r="A5" s="73" t="s">
        <v>149</v>
      </c>
      <c r="B5" s="31" t="s">
        <v>275</v>
      </c>
      <c r="C5" s="74" t="n">
        <v>6</v>
      </c>
      <c r="D5" s="74" t="n">
        <v>8</v>
      </c>
      <c r="E5" s="31" t="n">
        <v>6</v>
      </c>
      <c r="F5" s="31" t="n">
        <v>6</v>
      </c>
      <c r="G5" s="73"/>
      <c r="H5" s="73"/>
      <c r="I5" s="73"/>
    </row>
    <row r="6" customFormat="false" ht="15" hidden="false" customHeight="true" outlineLevel="0" collapsed="false">
      <c r="A6" s="73" t="s">
        <v>150</v>
      </c>
      <c r="B6" s="31" t="s">
        <v>275</v>
      </c>
      <c r="C6" s="74" t="n">
        <v>2</v>
      </c>
      <c r="D6" s="74" t="n">
        <v>2</v>
      </c>
      <c r="E6" s="31" t="n">
        <v>2</v>
      </c>
      <c r="F6" s="31" t="n">
        <v>2</v>
      </c>
      <c r="G6" s="73"/>
      <c r="H6" s="73"/>
      <c r="I6" s="73"/>
    </row>
    <row r="7" customFormat="false" ht="15" hidden="false" customHeight="true" outlineLevel="0" collapsed="false">
      <c r="A7" s="73" t="s">
        <v>151</v>
      </c>
      <c r="B7" s="31" t="s">
        <v>275</v>
      </c>
      <c r="C7" s="74" t="n">
        <v>1</v>
      </c>
      <c r="D7" s="74" t="n">
        <v>1</v>
      </c>
      <c r="E7" s="31" t="n">
        <v>1</v>
      </c>
      <c r="F7" s="31" t="n">
        <v>1</v>
      </c>
      <c r="G7" s="73"/>
      <c r="H7" s="73"/>
      <c r="I7" s="73"/>
    </row>
    <row r="8" customFormat="false" ht="15" hidden="false" customHeight="true" outlineLevel="0" collapsed="false">
      <c r="A8" s="73" t="s">
        <v>152</v>
      </c>
      <c r="B8" s="31" t="s">
        <v>275</v>
      </c>
      <c r="C8" s="74" t="n">
        <v>10</v>
      </c>
      <c r="D8" s="74" t="n">
        <v>15</v>
      </c>
      <c r="E8" s="31" t="n">
        <v>10</v>
      </c>
      <c r="F8" s="31" t="n">
        <v>12</v>
      </c>
      <c r="G8" s="73"/>
      <c r="H8" s="73"/>
      <c r="I8" s="73"/>
    </row>
    <row r="9" customFormat="false" ht="15" hidden="false" customHeight="true" outlineLevel="0" collapsed="false">
      <c r="A9" s="73" t="s">
        <v>153</v>
      </c>
      <c r="B9" s="31" t="s">
        <v>275</v>
      </c>
      <c r="C9" s="74" t="n">
        <v>5</v>
      </c>
      <c r="D9" s="74" t="n">
        <v>8</v>
      </c>
      <c r="E9" s="31" t="n">
        <v>5</v>
      </c>
      <c r="F9" s="31" t="n">
        <v>5</v>
      </c>
      <c r="G9" s="73"/>
      <c r="H9" s="73"/>
      <c r="I9" s="73"/>
    </row>
    <row r="10" customFormat="false" ht="15" hidden="false" customHeight="true" outlineLevel="0" collapsed="false">
      <c r="A10" s="73" t="s">
        <v>154</v>
      </c>
      <c r="B10" s="31" t="s">
        <v>275</v>
      </c>
      <c r="C10" s="74" t="n">
        <v>5</v>
      </c>
      <c r="D10" s="74" t="n">
        <v>8</v>
      </c>
      <c r="E10" s="31" t="n">
        <v>5</v>
      </c>
      <c r="F10" s="31" t="n">
        <v>5</v>
      </c>
      <c r="G10" s="73"/>
      <c r="H10" s="73"/>
      <c r="I10" s="73"/>
    </row>
    <row r="11" customFormat="false" ht="15" hidden="false" customHeight="true" outlineLevel="0" collapsed="false">
      <c r="A11" s="73" t="s">
        <v>155</v>
      </c>
      <c r="B11" s="31" t="s">
        <v>275</v>
      </c>
      <c r="C11" s="74" t="n">
        <v>6</v>
      </c>
      <c r="D11" s="74" t="n">
        <v>6</v>
      </c>
      <c r="E11" s="31" t="n">
        <v>6</v>
      </c>
      <c r="F11" s="31" t="n">
        <v>6</v>
      </c>
      <c r="G11" s="73"/>
      <c r="H11" s="73"/>
      <c r="I11" s="73"/>
    </row>
    <row r="12" customFormat="false" ht="15" hidden="false" customHeight="true" outlineLevel="0" collapsed="false">
      <c r="A12" s="73" t="s">
        <v>156</v>
      </c>
      <c r="B12" s="31" t="s">
        <v>275</v>
      </c>
      <c r="C12" s="74" t="n">
        <v>2</v>
      </c>
      <c r="D12" s="74" t="n">
        <v>8</v>
      </c>
      <c r="E12" s="31" t="n">
        <v>2</v>
      </c>
      <c r="F12" s="31" t="n">
        <v>7</v>
      </c>
      <c r="G12" s="73"/>
      <c r="H12" s="73"/>
      <c r="I12" s="73"/>
    </row>
    <row r="13" customFormat="false" ht="15" hidden="false" customHeight="true" outlineLevel="0" collapsed="false">
      <c r="A13" s="73" t="s">
        <v>157</v>
      </c>
      <c r="B13" s="31" t="s">
        <v>275</v>
      </c>
      <c r="C13" s="74" t="n">
        <v>5</v>
      </c>
      <c r="D13" s="74" t="n">
        <v>5</v>
      </c>
      <c r="E13" s="31" t="n">
        <v>5</v>
      </c>
      <c r="F13" s="31" t="n">
        <v>5</v>
      </c>
      <c r="G13" s="73"/>
      <c r="H13" s="73"/>
      <c r="I13" s="73"/>
    </row>
    <row r="14" customFormat="false" ht="15" hidden="false" customHeight="true" outlineLevel="0" collapsed="false">
      <c r="A14" s="73" t="s">
        <v>158</v>
      </c>
      <c r="B14" s="31" t="s">
        <v>275</v>
      </c>
      <c r="C14" s="74" t="n">
        <v>5</v>
      </c>
      <c r="D14" s="74" t="n">
        <v>8</v>
      </c>
      <c r="E14" s="31" t="n">
        <v>5</v>
      </c>
      <c r="F14" s="31" t="n">
        <v>7</v>
      </c>
      <c r="G14" s="73"/>
      <c r="H14" s="73"/>
      <c r="I14" s="73"/>
    </row>
    <row r="15" customFormat="false" ht="15" hidden="false" customHeight="true" outlineLevel="0" collapsed="false">
      <c r="A15" s="73" t="s">
        <v>159</v>
      </c>
      <c r="B15" s="31" t="s">
        <v>275</v>
      </c>
      <c r="C15" s="74" t="n">
        <v>4</v>
      </c>
      <c r="D15" s="74" t="n">
        <v>8</v>
      </c>
      <c r="E15" s="31" t="n">
        <v>3</v>
      </c>
      <c r="F15" s="31" t="n">
        <v>7</v>
      </c>
      <c r="G15" s="73"/>
      <c r="H15" s="73"/>
      <c r="I15" s="73"/>
    </row>
    <row r="16" customFormat="false" ht="15" hidden="false" customHeight="true" outlineLevel="0" collapsed="false">
      <c r="A16" s="73" t="s">
        <v>160</v>
      </c>
      <c r="B16" s="31" t="s">
        <v>275</v>
      </c>
      <c r="C16" s="74" t="n">
        <v>5</v>
      </c>
      <c r="D16" s="74" t="n">
        <v>8</v>
      </c>
      <c r="E16" s="31" t="n">
        <v>4</v>
      </c>
      <c r="F16" s="31" t="n">
        <v>6</v>
      </c>
      <c r="G16" s="73"/>
      <c r="H16" s="73"/>
      <c r="I16" s="73"/>
    </row>
    <row r="17" customFormat="false" ht="15" hidden="false" customHeight="true" outlineLevel="0" collapsed="false">
      <c r="A17" s="73" t="s">
        <v>161</v>
      </c>
      <c r="B17" s="31" t="s">
        <v>275</v>
      </c>
      <c r="C17" s="74" t="n">
        <v>8</v>
      </c>
      <c r="D17" s="74" t="n">
        <v>8</v>
      </c>
      <c r="E17" s="31" t="n">
        <v>6</v>
      </c>
      <c r="F17" s="31" t="n">
        <v>6</v>
      </c>
      <c r="G17" s="73"/>
      <c r="H17" s="73"/>
      <c r="I17" s="73"/>
    </row>
    <row r="18" customFormat="false" ht="15" hidden="false" customHeight="true" outlineLevel="0" collapsed="false">
      <c r="A18" s="75" t="s">
        <v>276</v>
      </c>
      <c r="B18" s="75"/>
      <c r="C18" s="41" t="n">
        <f aca="false">SUM(C5:C17)</f>
        <v>64</v>
      </c>
      <c r="D18" s="41" t="n">
        <f aca="false">SUM(D5:D17)</f>
        <v>93</v>
      </c>
      <c r="E18" s="41" t="n">
        <f aca="false">SUM(E5:E17)</f>
        <v>60</v>
      </c>
      <c r="F18" s="41" t="n">
        <f aca="false">SUM(F5:F17)</f>
        <v>75</v>
      </c>
      <c r="G18" s="75"/>
      <c r="H18" s="75"/>
      <c r="I18" s="75"/>
    </row>
    <row r="20" customFormat="false" ht="15" hidden="false" customHeight="true" outlineLevel="0" collapsed="false">
      <c r="A20" s="73" t="s">
        <v>162</v>
      </c>
      <c r="B20" s="33" t="s">
        <v>277</v>
      </c>
      <c r="C20" s="74" t="n">
        <v>31</v>
      </c>
      <c r="D20" s="74" t="n">
        <v>31</v>
      </c>
      <c r="E20" s="73"/>
      <c r="F20" s="73"/>
      <c r="G20" s="33" t="n">
        <v>10</v>
      </c>
      <c r="H20" s="33" t="n">
        <v>12</v>
      </c>
      <c r="I20" s="33" t="n">
        <v>14</v>
      </c>
    </row>
    <row r="21" customFormat="false" ht="15" hidden="false" customHeight="true" outlineLevel="0" collapsed="false">
      <c r="A21" s="73" t="s">
        <v>163</v>
      </c>
      <c r="B21" s="33" t="s">
        <v>277</v>
      </c>
      <c r="C21" s="74" t="n">
        <v>19</v>
      </c>
      <c r="D21" s="74" t="n">
        <v>19</v>
      </c>
      <c r="E21" s="73"/>
      <c r="F21" s="73"/>
      <c r="G21" s="33" t="n">
        <v>7</v>
      </c>
      <c r="H21" s="33" t="n">
        <v>9</v>
      </c>
      <c r="I21" s="33" t="n">
        <v>11</v>
      </c>
    </row>
    <row r="22" customFormat="false" ht="15" hidden="false" customHeight="true" outlineLevel="0" collapsed="false">
      <c r="A22" s="73" t="s">
        <v>164</v>
      </c>
      <c r="B22" s="33" t="s">
        <v>277</v>
      </c>
      <c r="C22" s="74" t="n">
        <v>17</v>
      </c>
      <c r="D22" s="74" t="n">
        <v>17</v>
      </c>
      <c r="E22" s="73"/>
      <c r="F22" s="73"/>
      <c r="G22" s="33" t="n">
        <v>7</v>
      </c>
      <c r="H22" s="33" t="n">
        <v>9</v>
      </c>
      <c r="I22" s="33" t="n">
        <v>11</v>
      </c>
    </row>
    <row r="23" customFormat="false" ht="15" hidden="false" customHeight="true" outlineLevel="0" collapsed="false">
      <c r="A23" s="73" t="s">
        <v>165</v>
      </c>
      <c r="B23" s="33" t="s">
        <v>277</v>
      </c>
      <c r="C23" s="74" t="n">
        <v>11</v>
      </c>
      <c r="D23" s="74" t="n">
        <v>15</v>
      </c>
      <c r="E23" s="73"/>
      <c r="F23" s="73"/>
      <c r="G23" s="33" t="n">
        <v>5</v>
      </c>
      <c r="H23" s="33" t="n">
        <v>6</v>
      </c>
      <c r="I23" s="33" t="n">
        <v>7</v>
      </c>
    </row>
    <row r="24" customFormat="false" ht="15" hidden="false" customHeight="true" outlineLevel="0" collapsed="false">
      <c r="A24" s="73" t="s">
        <v>166</v>
      </c>
      <c r="B24" s="33" t="s">
        <v>277</v>
      </c>
      <c r="C24" s="74" t="n">
        <v>8</v>
      </c>
      <c r="D24" s="74" t="n">
        <v>15</v>
      </c>
      <c r="E24" s="73"/>
      <c r="F24" s="73"/>
      <c r="G24" s="33" t="n">
        <v>5</v>
      </c>
      <c r="H24" s="33" t="n">
        <v>6</v>
      </c>
      <c r="I24" s="33" t="n">
        <v>7</v>
      </c>
    </row>
    <row r="25" customFormat="false" ht="15" hidden="false" customHeight="true" outlineLevel="0" collapsed="false">
      <c r="A25" s="73" t="s">
        <v>167</v>
      </c>
      <c r="B25" s="33" t="s">
        <v>277</v>
      </c>
      <c r="C25" s="74" t="n">
        <v>8</v>
      </c>
      <c r="D25" s="74" t="n">
        <v>8</v>
      </c>
      <c r="E25" s="73"/>
      <c r="F25" s="73"/>
      <c r="G25" s="33" t="n">
        <v>4</v>
      </c>
      <c r="H25" s="33" t="n">
        <v>4</v>
      </c>
      <c r="I25" s="33" t="n">
        <v>6</v>
      </c>
    </row>
    <row r="26" customFormat="false" ht="15" hidden="false" customHeight="true" outlineLevel="0" collapsed="false">
      <c r="A26" s="73" t="s">
        <v>168</v>
      </c>
      <c r="B26" s="33" t="s">
        <v>277</v>
      </c>
      <c r="C26" s="74" t="n">
        <v>7</v>
      </c>
      <c r="D26" s="74" t="n">
        <v>7</v>
      </c>
      <c r="E26" s="73"/>
      <c r="F26" s="73"/>
      <c r="G26" s="33" t="n">
        <v>3</v>
      </c>
      <c r="H26" s="33" t="n">
        <v>4</v>
      </c>
      <c r="I26" s="33" t="n">
        <v>5</v>
      </c>
    </row>
    <row r="27" customFormat="false" ht="15" hidden="false" customHeight="true" outlineLevel="0" collapsed="false">
      <c r="A27" s="73" t="s">
        <v>169</v>
      </c>
      <c r="B27" s="33" t="s">
        <v>277</v>
      </c>
      <c r="C27" s="74" t="n">
        <v>14</v>
      </c>
      <c r="D27" s="74" t="n">
        <v>15</v>
      </c>
      <c r="E27" s="73"/>
      <c r="F27" s="73"/>
      <c r="G27" s="33" t="n">
        <v>4</v>
      </c>
      <c r="H27" s="33" t="n">
        <v>6</v>
      </c>
      <c r="I27" s="33" t="n">
        <v>6</v>
      </c>
    </row>
    <row r="28" customFormat="false" ht="15" hidden="false" customHeight="true" outlineLevel="0" collapsed="false">
      <c r="A28" s="73" t="s">
        <v>170</v>
      </c>
      <c r="B28" s="33" t="s">
        <v>277</v>
      </c>
      <c r="C28" s="74" t="n">
        <v>9</v>
      </c>
      <c r="D28" s="74" t="n">
        <v>9</v>
      </c>
      <c r="E28" s="73"/>
      <c r="F28" s="73"/>
      <c r="G28" s="33" t="n">
        <v>3</v>
      </c>
      <c r="H28" s="33" t="n">
        <v>3</v>
      </c>
      <c r="I28" s="33" t="n">
        <v>5</v>
      </c>
    </row>
    <row r="29" customFormat="false" ht="15" hidden="false" customHeight="true" outlineLevel="0" collapsed="false">
      <c r="A29" s="73" t="s">
        <v>171</v>
      </c>
      <c r="B29" s="33" t="s">
        <v>277</v>
      </c>
      <c r="C29" s="74" t="n">
        <v>21</v>
      </c>
      <c r="D29" s="74" t="n">
        <v>21</v>
      </c>
      <c r="E29" s="73"/>
      <c r="F29" s="73"/>
      <c r="G29" s="33" t="n">
        <v>7</v>
      </c>
      <c r="H29" s="33" t="n">
        <v>10</v>
      </c>
      <c r="I29" s="33" t="n">
        <v>11</v>
      </c>
    </row>
    <row r="30" customFormat="false" ht="15" hidden="false" customHeight="true" outlineLevel="0" collapsed="false">
      <c r="A30" s="73" t="s">
        <v>172</v>
      </c>
      <c r="B30" s="33" t="s">
        <v>277</v>
      </c>
      <c r="C30" s="74" t="n">
        <v>5</v>
      </c>
      <c r="D30" s="74" t="n">
        <v>5</v>
      </c>
      <c r="E30" s="73"/>
      <c r="F30" s="73"/>
      <c r="G30" s="33" t="n">
        <v>2</v>
      </c>
      <c r="H30" s="33" t="n">
        <v>3</v>
      </c>
      <c r="I30" s="33" t="n">
        <v>3</v>
      </c>
    </row>
    <row r="31" customFormat="false" ht="15" hidden="false" customHeight="true" outlineLevel="0" collapsed="false">
      <c r="A31" s="73" t="s">
        <v>173</v>
      </c>
      <c r="B31" s="33" t="s">
        <v>277</v>
      </c>
      <c r="C31" s="74" t="n">
        <v>12</v>
      </c>
      <c r="D31" s="74" t="n">
        <v>12</v>
      </c>
      <c r="E31" s="73"/>
      <c r="F31" s="73"/>
      <c r="G31" s="33" t="n">
        <v>3</v>
      </c>
      <c r="H31" s="33" t="n">
        <v>4</v>
      </c>
      <c r="I31" s="33" t="n">
        <v>6</v>
      </c>
    </row>
    <row r="32" customFormat="false" ht="15" hidden="false" customHeight="true" outlineLevel="0" collapsed="false">
      <c r="A32" s="73" t="s">
        <v>174</v>
      </c>
      <c r="B32" s="33" t="s">
        <v>277</v>
      </c>
      <c r="C32" s="74" t="n">
        <v>10</v>
      </c>
      <c r="D32" s="74" t="n">
        <v>10</v>
      </c>
      <c r="E32" s="73"/>
      <c r="F32" s="73"/>
      <c r="G32" s="33" t="n">
        <v>3</v>
      </c>
      <c r="H32" s="33" t="n">
        <v>3</v>
      </c>
      <c r="I32" s="33" t="n">
        <v>5</v>
      </c>
    </row>
    <row r="33" customFormat="false" ht="15" hidden="false" customHeight="true" outlineLevel="0" collapsed="false">
      <c r="A33" s="73" t="s">
        <v>175</v>
      </c>
      <c r="B33" s="33" t="s">
        <v>277</v>
      </c>
      <c r="C33" s="74" t="n">
        <v>5</v>
      </c>
      <c r="D33" s="74" t="n">
        <v>5</v>
      </c>
      <c r="E33" s="73"/>
      <c r="F33" s="73"/>
      <c r="G33" s="33" t="n">
        <v>2</v>
      </c>
      <c r="H33" s="33" t="n">
        <v>2</v>
      </c>
      <c r="I33" s="33" t="n">
        <v>3</v>
      </c>
    </row>
    <row r="34" customFormat="false" ht="15" hidden="false" customHeight="true" outlineLevel="0" collapsed="false">
      <c r="A34" s="73" t="s">
        <v>176</v>
      </c>
      <c r="B34" s="33" t="s">
        <v>277</v>
      </c>
      <c r="C34" s="74" t="n">
        <v>9</v>
      </c>
      <c r="D34" s="74" t="n">
        <v>9</v>
      </c>
      <c r="E34" s="73"/>
      <c r="F34" s="73"/>
      <c r="G34" s="33" t="n">
        <v>3</v>
      </c>
      <c r="H34" s="33" t="n">
        <v>5</v>
      </c>
      <c r="I34" s="33" t="n">
        <v>5</v>
      </c>
    </row>
    <row r="35" customFormat="false" ht="15" hidden="false" customHeight="true" outlineLevel="0" collapsed="false">
      <c r="A35" s="73" t="s">
        <v>177</v>
      </c>
      <c r="B35" s="33" t="s">
        <v>277</v>
      </c>
      <c r="C35" s="74" t="n">
        <v>10</v>
      </c>
      <c r="D35" s="74" t="n">
        <v>10</v>
      </c>
      <c r="E35" s="73"/>
      <c r="F35" s="73"/>
      <c r="G35" s="33" t="n">
        <v>3</v>
      </c>
      <c r="H35" s="33" t="n">
        <v>5</v>
      </c>
      <c r="I35" s="33" t="n">
        <v>5</v>
      </c>
    </row>
    <row r="36" customFormat="false" ht="15" hidden="false" customHeight="true" outlineLevel="0" collapsed="false">
      <c r="A36" s="73" t="s">
        <v>178</v>
      </c>
      <c r="B36" s="33" t="s">
        <v>277</v>
      </c>
      <c r="C36" s="74" t="n">
        <v>10</v>
      </c>
      <c r="D36" s="74" t="n">
        <v>10</v>
      </c>
      <c r="E36" s="73"/>
      <c r="F36" s="73"/>
      <c r="G36" s="33" t="n">
        <v>3</v>
      </c>
      <c r="H36" s="33" t="n">
        <v>5</v>
      </c>
      <c r="I36" s="33" t="n">
        <v>5</v>
      </c>
    </row>
    <row r="37" customFormat="false" ht="15" hidden="false" customHeight="true" outlineLevel="0" collapsed="false">
      <c r="A37" s="73" t="s">
        <v>179</v>
      </c>
      <c r="B37" s="33" t="s">
        <v>277</v>
      </c>
      <c r="C37" s="74" t="n">
        <v>10</v>
      </c>
      <c r="D37" s="74" t="n">
        <v>15</v>
      </c>
      <c r="E37" s="73"/>
      <c r="F37" s="73"/>
      <c r="G37" s="33" t="n">
        <v>3</v>
      </c>
      <c r="H37" s="33" t="n">
        <v>6</v>
      </c>
      <c r="I37" s="33" t="n">
        <v>7</v>
      </c>
    </row>
    <row r="38" customFormat="false" ht="15" hidden="false" customHeight="true" outlineLevel="0" collapsed="false">
      <c r="A38" s="73" t="s">
        <v>180</v>
      </c>
      <c r="B38" s="33" t="s">
        <v>277</v>
      </c>
      <c r="C38" s="74" t="n">
        <v>1</v>
      </c>
      <c r="D38" s="74" t="n">
        <v>1</v>
      </c>
      <c r="E38" s="73"/>
      <c r="F38" s="73"/>
      <c r="G38" s="33" t="n">
        <v>1</v>
      </c>
      <c r="H38" s="33" t="n">
        <v>1</v>
      </c>
      <c r="I38" s="33" t="n">
        <v>1</v>
      </c>
    </row>
    <row r="39" customFormat="false" ht="15" hidden="false" customHeight="true" outlineLevel="0" collapsed="false">
      <c r="A39" s="73" t="s">
        <v>181</v>
      </c>
      <c r="B39" s="33" t="s">
        <v>277</v>
      </c>
      <c r="C39" s="74" t="n">
        <v>2</v>
      </c>
      <c r="D39" s="74" t="n">
        <v>2</v>
      </c>
      <c r="E39" s="73"/>
      <c r="F39" s="73"/>
      <c r="G39" s="33" t="n">
        <v>2</v>
      </c>
      <c r="H39" s="33" t="n">
        <v>2</v>
      </c>
      <c r="I39" s="33" t="n">
        <v>2</v>
      </c>
    </row>
    <row r="40" customFormat="false" ht="15" hidden="false" customHeight="true" outlineLevel="0" collapsed="false">
      <c r="A40" s="75" t="s">
        <v>278</v>
      </c>
      <c r="B40" s="75"/>
      <c r="C40" s="41" t="n">
        <f aca="false">SUM(C20:C39)</f>
        <v>219</v>
      </c>
      <c r="D40" s="41" t="n">
        <f aca="false">SUM(D20:D39)</f>
        <v>236</v>
      </c>
      <c r="E40" s="75"/>
      <c r="F40" s="75"/>
      <c r="G40" s="41" t="n">
        <f aca="false">SUM(G20:G39)</f>
        <v>80</v>
      </c>
      <c r="H40" s="41" t="n">
        <f aca="false">SUM(H20:H39)</f>
        <v>105</v>
      </c>
      <c r="I40" s="41" t="n">
        <f aca="false">SUM(I20:I39)</f>
        <v>125</v>
      </c>
    </row>
    <row r="42" customFormat="false" ht="19.5" hidden="false" customHeight="true" outlineLevel="0" collapsed="false">
      <c r="A42" s="20" t="s">
        <v>279</v>
      </c>
      <c r="B42" s="20"/>
      <c r="C42" s="20"/>
      <c r="D42" s="20"/>
      <c r="E42" s="20"/>
      <c r="F42" s="20"/>
      <c r="G42" s="20"/>
      <c r="H42" s="20"/>
      <c r="I42" s="20"/>
    </row>
    <row r="43" customFormat="false" ht="15" hidden="false" customHeight="true" outlineLevel="0" collapsed="false">
      <c r="A43" s="21" t="s">
        <v>266</v>
      </c>
      <c r="B43" s="21" t="s">
        <v>267</v>
      </c>
      <c r="C43" s="21" t="s">
        <v>268</v>
      </c>
      <c r="D43" s="21" t="s">
        <v>269</v>
      </c>
      <c r="E43" s="21" t="s">
        <v>280</v>
      </c>
      <c r="F43" s="21" t="s">
        <v>281</v>
      </c>
    </row>
    <row r="44" customFormat="false" ht="15" hidden="false" customHeight="true" outlineLevel="0" collapsed="false">
      <c r="A44" s="73" t="s">
        <v>182</v>
      </c>
      <c r="B44" s="39" t="s">
        <v>282</v>
      </c>
      <c r="C44" s="74" t="n">
        <v>35</v>
      </c>
      <c r="D44" s="74" t="n">
        <v>35</v>
      </c>
      <c r="E44" s="39" t="n">
        <v>4</v>
      </c>
      <c r="F44" s="39" t="n">
        <v>5</v>
      </c>
    </row>
    <row r="45" customFormat="false" ht="15" hidden="false" customHeight="true" outlineLevel="0" collapsed="false">
      <c r="A45" s="73" t="s">
        <v>183</v>
      </c>
      <c r="B45" s="39" t="s">
        <v>282</v>
      </c>
      <c r="C45" s="74" t="n">
        <v>32</v>
      </c>
      <c r="D45" s="74" t="n">
        <v>32</v>
      </c>
      <c r="E45" s="39" t="n">
        <v>1</v>
      </c>
      <c r="F45" s="39" t="n">
        <v>3</v>
      </c>
    </row>
    <row r="46" customFormat="false" ht="15" hidden="false" customHeight="true" outlineLevel="0" collapsed="false">
      <c r="A46" s="73" t="s">
        <v>184</v>
      </c>
      <c r="B46" s="39" t="s">
        <v>282</v>
      </c>
      <c r="C46" s="74" t="n">
        <v>18</v>
      </c>
      <c r="D46" s="74" t="n">
        <v>18</v>
      </c>
      <c r="E46" s="39" t="n">
        <v>1</v>
      </c>
      <c r="F46" s="39" t="n">
        <v>2</v>
      </c>
    </row>
    <row r="47" customFormat="false" ht="15" hidden="false" customHeight="true" outlineLevel="0" collapsed="false">
      <c r="A47" s="73" t="s">
        <v>185</v>
      </c>
      <c r="B47" s="39" t="s">
        <v>282</v>
      </c>
      <c r="C47" s="74" t="n">
        <v>30</v>
      </c>
      <c r="D47" s="74" t="n">
        <v>30</v>
      </c>
      <c r="E47" s="39" t="n">
        <v>4</v>
      </c>
      <c r="F47" s="39" t="n">
        <v>5</v>
      </c>
    </row>
    <row r="48" customFormat="false" ht="15" hidden="false" customHeight="true" outlineLevel="0" collapsed="false">
      <c r="A48" s="73" t="s">
        <v>186</v>
      </c>
      <c r="B48" s="39" t="s">
        <v>282</v>
      </c>
      <c r="C48" s="74" t="n">
        <v>27</v>
      </c>
      <c r="D48" s="74" t="n">
        <v>27</v>
      </c>
      <c r="E48" s="39" t="n">
        <v>3</v>
      </c>
      <c r="F48" s="39" t="n">
        <v>4</v>
      </c>
    </row>
    <row r="49" customFormat="false" ht="15" hidden="false" customHeight="true" outlineLevel="0" collapsed="false">
      <c r="A49" s="73" t="s">
        <v>187</v>
      </c>
      <c r="B49" s="39" t="s">
        <v>282</v>
      </c>
      <c r="C49" s="74" t="n">
        <v>15</v>
      </c>
      <c r="D49" s="74" t="n">
        <v>15</v>
      </c>
      <c r="E49" s="39" t="n">
        <v>1</v>
      </c>
      <c r="F49" s="39" t="n">
        <v>2</v>
      </c>
    </row>
    <row r="50" customFormat="false" ht="15" hidden="false" customHeight="true" outlineLevel="0" collapsed="false">
      <c r="A50" s="73" t="s">
        <v>188</v>
      </c>
      <c r="B50" s="39" t="s">
        <v>282</v>
      </c>
      <c r="C50" s="74" t="n">
        <v>33</v>
      </c>
      <c r="D50" s="74" t="n">
        <v>33</v>
      </c>
      <c r="E50" s="39" t="n">
        <v>3</v>
      </c>
      <c r="F50" s="39" t="n">
        <v>5</v>
      </c>
    </row>
    <row r="51" customFormat="false" ht="15" hidden="false" customHeight="true" outlineLevel="0" collapsed="false">
      <c r="A51" s="73" t="s">
        <v>189</v>
      </c>
      <c r="B51" s="39" t="s">
        <v>282</v>
      </c>
      <c r="C51" s="74" t="n">
        <v>18</v>
      </c>
      <c r="D51" s="74" t="n">
        <v>18</v>
      </c>
      <c r="E51" s="39" t="n">
        <v>3</v>
      </c>
      <c r="F51" s="39" t="n">
        <v>4</v>
      </c>
    </row>
    <row r="52" customFormat="false" ht="15" hidden="false" customHeight="true" outlineLevel="0" collapsed="false">
      <c r="A52" s="73" t="s">
        <v>190</v>
      </c>
      <c r="B52" s="39" t="s">
        <v>282</v>
      </c>
      <c r="C52" s="74" t="n">
        <v>23</v>
      </c>
      <c r="D52" s="74" t="n">
        <v>23</v>
      </c>
      <c r="E52" s="39" t="n">
        <v>1</v>
      </c>
      <c r="F52" s="39" t="n">
        <v>2</v>
      </c>
    </row>
    <row r="53" customFormat="false" ht="15" hidden="false" customHeight="true" outlineLevel="0" collapsed="false">
      <c r="A53" s="73" t="s">
        <v>191</v>
      </c>
      <c r="B53" s="39" t="s">
        <v>282</v>
      </c>
      <c r="C53" s="74" t="n">
        <v>14</v>
      </c>
      <c r="D53" s="74" t="n">
        <v>14</v>
      </c>
      <c r="E53" s="39" t="n">
        <v>1</v>
      </c>
      <c r="F53" s="39" t="n">
        <v>2</v>
      </c>
    </row>
    <row r="54" customFormat="false" ht="15" hidden="false" customHeight="true" outlineLevel="0" collapsed="false">
      <c r="A54" s="73" t="s">
        <v>192</v>
      </c>
      <c r="B54" s="39" t="s">
        <v>282</v>
      </c>
      <c r="C54" s="74" t="n">
        <v>25</v>
      </c>
      <c r="D54" s="74" t="n">
        <v>25</v>
      </c>
      <c r="E54" s="39" t="n">
        <v>3</v>
      </c>
      <c r="F54" s="39" t="n">
        <v>4</v>
      </c>
    </row>
    <row r="55" customFormat="false" ht="15" hidden="false" customHeight="true" outlineLevel="0" collapsed="false">
      <c r="A55" s="73" t="s">
        <v>193</v>
      </c>
      <c r="B55" s="39" t="s">
        <v>282</v>
      </c>
      <c r="C55" s="74" t="n">
        <v>24</v>
      </c>
      <c r="D55" s="74" t="n">
        <v>24</v>
      </c>
      <c r="E55" s="39" t="n">
        <v>1</v>
      </c>
      <c r="F55" s="39" t="n">
        <v>2</v>
      </c>
    </row>
    <row r="56" customFormat="false" ht="15" hidden="false" customHeight="true" outlineLevel="0" collapsed="false">
      <c r="A56" s="73" t="s">
        <v>194</v>
      </c>
      <c r="B56" s="39" t="s">
        <v>282</v>
      </c>
      <c r="C56" s="74" t="n">
        <v>21</v>
      </c>
      <c r="D56" s="74" t="n">
        <v>21</v>
      </c>
      <c r="E56" s="39" t="n">
        <v>3</v>
      </c>
      <c r="F56" s="39" t="n">
        <v>4</v>
      </c>
    </row>
    <row r="57" customFormat="false" ht="15" hidden="false" customHeight="true" outlineLevel="0" collapsed="false">
      <c r="A57" s="73" t="s">
        <v>195</v>
      </c>
      <c r="B57" s="39" t="s">
        <v>282</v>
      </c>
      <c r="C57" s="74" t="n">
        <v>24</v>
      </c>
      <c r="D57" s="74" t="n">
        <v>24</v>
      </c>
      <c r="E57" s="39" t="n">
        <v>1</v>
      </c>
      <c r="F57" s="39" t="n">
        <v>2</v>
      </c>
    </row>
    <row r="58" customFormat="false" ht="15" hidden="false" customHeight="true" outlineLevel="0" collapsed="false">
      <c r="A58" s="73" t="s">
        <v>196</v>
      </c>
      <c r="B58" s="39" t="s">
        <v>282</v>
      </c>
      <c r="C58" s="74" t="n">
        <v>22</v>
      </c>
      <c r="D58" s="74" t="n">
        <v>22</v>
      </c>
      <c r="E58" s="39" t="n">
        <v>1</v>
      </c>
      <c r="F58" s="39" t="n">
        <v>2</v>
      </c>
    </row>
    <row r="59" customFormat="false" ht="15" hidden="false" customHeight="true" outlineLevel="0" collapsed="false">
      <c r="A59" s="73" t="s">
        <v>197</v>
      </c>
      <c r="B59" s="39" t="s">
        <v>282</v>
      </c>
      <c r="C59" s="74" t="n">
        <v>31</v>
      </c>
      <c r="D59" s="74" t="n">
        <v>31</v>
      </c>
      <c r="E59" s="39" t="n">
        <v>4</v>
      </c>
      <c r="F59" s="39" t="n">
        <v>5</v>
      </c>
    </row>
    <row r="60" customFormat="false" ht="15" hidden="false" customHeight="true" outlineLevel="0" collapsed="false">
      <c r="A60" s="73" t="s">
        <v>198</v>
      </c>
      <c r="B60" s="39" t="s">
        <v>282</v>
      </c>
      <c r="C60" s="74" t="n">
        <v>13</v>
      </c>
      <c r="D60" s="74" t="n">
        <v>13</v>
      </c>
      <c r="E60" s="39" t="n">
        <v>1</v>
      </c>
      <c r="F60" s="39" t="n">
        <v>2</v>
      </c>
    </row>
    <row r="61" customFormat="false" ht="15" hidden="false" customHeight="true" outlineLevel="0" collapsed="false">
      <c r="A61" s="73" t="s">
        <v>199</v>
      </c>
      <c r="B61" s="39" t="s">
        <v>282</v>
      </c>
      <c r="C61" s="74" t="n">
        <v>13</v>
      </c>
      <c r="D61" s="74" t="n">
        <v>13</v>
      </c>
      <c r="E61" s="39" t="n">
        <v>1</v>
      </c>
      <c r="F61" s="39" t="n">
        <v>2</v>
      </c>
    </row>
    <row r="62" customFormat="false" ht="15" hidden="false" customHeight="true" outlineLevel="0" collapsed="false">
      <c r="A62" s="75" t="s">
        <v>283</v>
      </c>
      <c r="B62" s="75"/>
      <c r="C62" s="41" t="n">
        <f aca="false">SUM(C44:C61)</f>
        <v>418</v>
      </c>
      <c r="D62" s="41" t="n">
        <f aca="false">SUM(D44:D61)</f>
        <v>418</v>
      </c>
      <c r="E62" s="41" t="n">
        <f aca="false">SUM(E44:E61)</f>
        <v>37</v>
      </c>
      <c r="F62" s="41" t="n">
        <f aca="false">SUM(F44:F61)</f>
        <v>57</v>
      </c>
    </row>
  </sheetData>
  <mergeCells count="4">
    <mergeCell ref="A1:I1"/>
    <mergeCell ref="A2:I2"/>
    <mergeCell ref="A3:I3"/>
    <mergeCell ref="A42:I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3"/>
    <col collapsed="false" customWidth="true" hidden="false" outlineLevel="0" max="3" min="3" style="1" width="11"/>
    <col collapsed="false" customWidth="true" hidden="false" outlineLevel="0" max="4" min="4" style="1" width="18"/>
    <col collapsed="false" customWidth="true" hidden="false" outlineLevel="0" max="9" min="5" style="1" width="9"/>
    <col collapsed="false" customWidth="true" hidden="false" outlineLevel="0" max="11" min="10" style="1" width="12"/>
    <col collapsed="false" customWidth="true" hidden="false" outlineLevel="0" max="12" min="12" style="1" width="9"/>
  </cols>
  <sheetData>
    <row r="1" customFormat="false" ht="24" hidden="false" customHeight="true" outlineLevel="0" collapsed="false">
      <c r="A1" s="2" t="s">
        <v>284</v>
      </c>
      <c r="B1" s="2"/>
      <c r="C1" s="2"/>
      <c r="D1" s="2"/>
      <c r="E1" s="2"/>
      <c r="F1" s="2"/>
      <c r="G1" s="2"/>
      <c r="H1" s="2"/>
      <c r="I1" s="2"/>
      <c r="J1" s="2"/>
      <c r="K1" s="2"/>
      <c r="L1" s="2"/>
    </row>
    <row r="2" customFormat="false" ht="15" hidden="false" customHeight="true" outlineLevel="0" collapsed="false">
      <c r="A2" s="19" t="s">
        <v>285</v>
      </c>
      <c r="B2" s="19"/>
      <c r="C2" s="19"/>
      <c r="D2" s="19"/>
      <c r="E2" s="19"/>
      <c r="F2" s="19"/>
      <c r="G2" s="19"/>
      <c r="H2" s="19"/>
      <c r="I2" s="19"/>
      <c r="J2" s="19"/>
      <c r="K2" s="19"/>
      <c r="L2" s="19"/>
    </row>
    <row r="4" customFormat="false" ht="31.5" hidden="false" customHeight="true" outlineLevel="0" collapsed="false">
      <c r="A4" s="21" t="s">
        <v>286</v>
      </c>
      <c r="B4" s="21" t="s">
        <v>287</v>
      </c>
      <c r="C4" s="21" t="s">
        <v>288</v>
      </c>
      <c r="D4" s="21" t="s">
        <v>289</v>
      </c>
      <c r="E4" s="21" t="s">
        <v>290</v>
      </c>
      <c r="F4" s="21" t="s">
        <v>291</v>
      </c>
      <c r="G4" s="21" t="s">
        <v>292</v>
      </c>
      <c r="H4" s="21" t="s">
        <v>293</v>
      </c>
      <c r="I4" s="21" t="s">
        <v>294</v>
      </c>
      <c r="J4" s="21" t="s">
        <v>295</v>
      </c>
      <c r="K4" s="21" t="s">
        <v>296</v>
      </c>
      <c r="L4" s="21" t="s">
        <v>297</v>
      </c>
    </row>
    <row r="5" customFormat="false" ht="15" hidden="false" customHeight="true" outlineLevel="0" collapsed="false">
      <c r="A5" s="76" t="s">
        <v>298</v>
      </c>
      <c r="B5" s="74" t="s">
        <v>299</v>
      </c>
      <c r="C5" s="74" t="s">
        <v>299</v>
      </c>
      <c r="D5" s="74" t="s">
        <v>300</v>
      </c>
      <c r="E5" s="31" t="n">
        <v>60</v>
      </c>
      <c r="F5" s="33" t="n">
        <v>80</v>
      </c>
      <c r="G5" s="35" t="n">
        <v>10</v>
      </c>
      <c r="H5" s="35" t="n">
        <v>10</v>
      </c>
      <c r="I5" s="35" t="n">
        <v>10</v>
      </c>
      <c r="J5" s="37" t="n">
        <f aca="false">SUM(E5:I5)</f>
        <v>170</v>
      </c>
      <c r="K5" s="39" t="n">
        <v>50</v>
      </c>
      <c r="L5" s="41" t="n">
        <f aca="false">J5+K5</f>
        <v>220</v>
      </c>
    </row>
    <row r="6" customFormat="false" ht="15" hidden="false" customHeight="true" outlineLevel="0" collapsed="false">
      <c r="A6" s="76" t="s">
        <v>301</v>
      </c>
      <c r="B6" s="74" t="s">
        <v>299</v>
      </c>
      <c r="C6" s="74" t="s">
        <v>302</v>
      </c>
      <c r="D6" s="74" t="s">
        <v>300</v>
      </c>
      <c r="E6" s="31" t="n">
        <v>60</v>
      </c>
      <c r="F6" s="33" t="n">
        <v>90</v>
      </c>
      <c r="G6" s="35" t="n">
        <v>10</v>
      </c>
      <c r="H6" s="35" t="n">
        <v>0</v>
      </c>
      <c r="I6" s="35" t="n">
        <v>10</v>
      </c>
      <c r="J6" s="37" t="n">
        <f aca="false">SUM(E6:I6)</f>
        <v>170</v>
      </c>
      <c r="K6" s="39" t="n">
        <v>50</v>
      </c>
      <c r="L6" s="41" t="n">
        <f aca="false">J6+K6</f>
        <v>220</v>
      </c>
    </row>
    <row r="7" customFormat="false" ht="15" hidden="false" customHeight="true" outlineLevel="0" collapsed="false">
      <c r="A7" s="76" t="s">
        <v>303</v>
      </c>
      <c r="B7" s="74" t="s">
        <v>302</v>
      </c>
      <c r="C7" s="74" t="s">
        <v>299</v>
      </c>
      <c r="D7" s="74" t="s">
        <v>300</v>
      </c>
      <c r="E7" s="31" t="n">
        <v>60</v>
      </c>
      <c r="F7" s="33" t="n">
        <v>90</v>
      </c>
      <c r="G7" s="35" t="n">
        <v>0</v>
      </c>
      <c r="H7" s="35" t="n">
        <v>10</v>
      </c>
      <c r="I7" s="35" t="n">
        <v>10</v>
      </c>
      <c r="J7" s="37" t="n">
        <f aca="false">SUM(E7:I7)</f>
        <v>170</v>
      </c>
      <c r="K7" s="39" t="n">
        <v>50</v>
      </c>
      <c r="L7" s="41" t="n">
        <f aca="false">J7+K7</f>
        <v>220</v>
      </c>
    </row>
    <row r="8" customFormat="false" ht="15" hidden="false" customHeight="true" outlineLevel="0" collapsed="false">
      <c r="A8" s="76" t="s">
        <v>304</v>
      </c>
      <c r="B8" s="74" t="s">
        <v>302</v>
      </c>
      <c r="C8" s="74" t="s">
        <v>302</v>
      </c>
      <c r="D8" s="74" t="s">
        <v>300</v>
      </c>
      <c r="E8" s="31" t="n">
        <v>60</v>
      </c>
      <c r="F8" s="33" t="n">
        <v>100</v>
      </c>
      <c r="G8" s="35" t="n">
        <v>0</v>
      </c>
      <c r="H8" s="35" t="n">
        <v>0</v>
      </c>
      <c r="I8" s="35" t="n">
        <v>10</v>
      </c>
      <c r="J8" s="37" t="n">
        <f aca="false">SUM(E8:I8)</f>
        <v>170</v>
      </c>
      <c r="K8" s="39" t="n">
        <v>50</v>
      </c>
      <c r="L8" s="41" t="n">
        <f aca="false">J8+K8</f>
        <v>220</v>
      </c>
    </row>
    <row r="9" customFormat="false" ht="15" hidden="false" customHeight="true" outlineLevel="0" collapsed="false">
      <c r="A9" s="76" t="s">
        <v>305</v>
      </c>
      <c r="B9" s="74" t="s">
        <v>299</v>
      </c>
      <c r="C9" s="74" t="s">
        <v>299</v>
      </c>
      <c r="D9" s="74" t="s">
        <v>306</v>
      </c>
      <c r="E9" s="31" t="n">
        <v>75</v>
      </c>
      <c r="F9" s="33" t="n">
        <v>105</v>
      </c>
      <c r="G9" s="35" t="n">
        <v>10</v>
      </c>
      <c r="H9" s="35" t="n">
        <v>10</v>
      </c>
      <c r="I9" s="35" t="n">
        <v>10</v>
      </c>
      <c r="J9" s="37" t="n">
        <f aca="false">SUM(E9:I9)</f>
        <v>210</v>
      </c>
      <c r="K9" s="39" t="n">
        <v>0</v>
      </c>
      <c r="L9" s="77" t="n">
        <f aca="false">J9+K9</f>
        <v>210</v>
      </c>
    </row>
    <row r="10" customFormat="false" ht="15" hidden="false" customHeight="true" outlineLevel="0" collapsed="false">
      <c r="A10" s="76" t="s">
        <v>307</v>
      </c>
      <c r="B10" s="74" t="s">
        <v>302</v>
      </c>
      <c r="C10" s="74" t="s">
        <v>302</v>
      </c>
      <c r="D10" s="74" t="s">
        <v>306</v>
      </c>
      <c r="E10" s="31" t="n">
        <v>75</v>
      </c>
      <c r="F10" s="33" t="n">
        <v>125</v>
      </c>
      <c r="G10" s="35" t="n">
        <v>0</v>
      </c>
      <c r="H10" s="35" t="n">
        <v>0</v>
      </c>
      <c r="I10" s="35" t="n">
        <v>10</v>
      </c>
      <c r="J10" s="37" t="n">
        <f aca="false">SUM(E10:I10)</f>
        <v>210</v>
      </c>
      <c r="K10" s="39" t="n">
        <v>0</v>
      </c>
      <c r="L10" s="77" t="n">
        <f aca="false">J10+K10</f>
        <v>210</v>
      </c>
    </row>
    <row r="12" customFormat="false" ht="15" hidden="false" customHeight="true" outlineLevel="0" collapsed="false">
      <c r="A12" s="78" t="s">
        <v>308</v>
      </c>
      <c r="B12" s="79" t="s">
        <v>309</v>
      </c>
      <c r="C12" s="79"/>
      <c r="D12" s="79"/>
      <c r="E12" s="79"/>
      <c r="F12" s="79"/>
      <c r="G12" s="79"/>
      <c r="H12" s="79"/>
      <c r="I12" s="79"/>
      <c r="J12" s="79"/>
      <c r="K12" s="79"/>
      <c r="L12" s="79"/>
    </row>
    <row r="14" customFormat="false" ht="15" hidden="false" customHeight="true" outlineLevel="0" collapsed="false">
      <c r="A14" s="3" t="s">
        <v>310</v>
      </c>
    </row>
    <row r="15" customFormat="false" ht="23.25" hidden="false" customHeight="true" outlineLevel="0" collapsed="false">
      <c r="A15" s="80" t="s">
        <v>4</v>
      </c>
      <c r="B15" s="6" t="s">
        <v>311</v>
      </c>
      <c r="C15" s="6"/>
      <c r="D15" s="6"/>
      <c r="E15" s="6"/>
      <c r="F15" s="6"/>
      <c r="G15" s="6"/>
      <c r="H15" s="6"/>
      <c r="I15" s="6"/>
      <c r="J15" s="6"/>
      <c r="K15" s="6"/>
      <c r="L15" s="6"/>
    </row>
    <row r="16" customFormat="false" ht="15" hidden="false" customHeight="true" outlineLevel="0" collapsed="false">
      <c r="A16" s="80" t="s">
        <v>4</v>
      </c>
      <c r="B16" s="6" t="s">
        <v>312</v>
      </c>
      <c r="C16" s="6"/>
      <c r="D16" s="6"/>
      <c r="E16" s="6"/>
      <c r="F16" s="6"/>
      <c r="G16" s="6"/>
      <c r="H16" s="6"/>
      <c r="I16" s="6"/>
      <c r="J16" s="6"/>
      <c r="K16" s="6"/>
      <c r="L16" s="6"/>
    </row>
    <row r="17" customFormat="false" ht="23.25" hidden="false" customHeight="true" outlineLevel="0" collapsed="false">
      <c r="A17" s="80" t="s">
        <v>4</v>
      </c>
      <c r="B17" s="6" t="s">
        <v>313</v>
      </c>
      <c r="C17" s="6"/>
      <c r="D17" s="6"/>
      <c r="E17" s="6"/>
      <c r="F17" s="6"/>
      <c r="G17" s="6"/>
      <c r="H17" s="6"/>
      <c r="I17" s="6"/>
      <c r="J17" s="6"/>
      <c r="K17" s="6"/>
      <c r="L17" s="6"/>
    </row>
    <row r="18" customFormat="false" ht="23.25" hidden="false" customHeight="true" outlineLevel="0" collapsed="false">
      <c r="A18" s="80" t="s">
        <v>4</v>
      </c>
      <c r="B18" s="6" t="s">
        <v>314</v>
      </c>
      <c r="C18" s="6"/>
      <c r="D18" s="6"/>
      <c r="E18" s="6"/>
      <c r="F18" s="6"/>
      <c r="G18" s="6"/>
      <c r="H18" s="6"/>
      <c r="I18" s="6"/>
      <c r="J18" s="6"/>
      <c r="K18" s="6"/>
      <c r="L18" s="6"/>
    </row>
    <row r="19" customFormat="false" ht="15" hidden="false" customHeight="true" outlineLevel="0" collapsed="false">
      <c r="A19" s="80" t="s">
        <v>4</v>
      </c>
      <c r="B19" s="6" t="s">
        <v>315</v>
      </c>
      <c r="C19" s="6"/>
      <c r="D19" s="6"/>
      <c r="E19" s="6"/>
      <c r="F19" s="6"/>
      <c r="G19" s="6"/>
      <c r="H19" s="6"/>
      <c r="I19" s="6"/>
      <c r="J19" s="6"/>
      <c r="K19" s="6"/>
      <c r="L19" s="6"/>
    </row>
  </sheetData>
  <mergeCells count="8">
    <mergeCell ref="A1:L1"/>
    <mergeCell ref="A2:L2"/>
    <mergeCell ref="B12:L12"/>
    <mergeCell ref="B15:L15"/>
    <mergeCell ref="B16:L16"/>
    <mergeCell ref="B17:L17"/>
    <mergeCell ref="B18:L18"/>
    <mergeCell ref="B19:L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35"/>
    <col collapsed="false" customWidth="true" hidden="false" outlineLevel="0" max="7" min="4" style="0" width="12"/>
  </cols>
  <sheetData>
    <row r="1" customFormat="false" ht="24" hidden="false" customHeight="true" outlineLevel="0" collapsed="false">
      <c r="A1" s="2" t="s">
        <v>316</v>
      </c>
      <c r="B1" s="2"/>
      <c r="C1" s="2"/>
      <c r="D1" s="2"/>
      <c r="E1" s="2"/>
      <c r="F1" s="2"/>
      <c r="G1" s="2"/>
    </row>
    <row r="2" customFormat="false" ht="15" hidden="false" customHeight="false" outlineLevel="0" collapsed="false">
      <c r="A2" s="81" t="s">
        <v>317</v>
      </c>
      <c r="B2" s="81"/>
      <c r="C2" s="81"/>
      <c r="D2" s="81"/>
      <c r="E2" s="81"/>
      <c r="F2" s="81"/>
      <c r="G2" s="81"/>
    </row>
    <row r="4" customFormat="false" ht="19.5" hidden="false" customHeight="true" outlineLevel="0" collapsed="false">
      <c r="A4" s="20" t="s">
        <v>318</v>
      </c>
      <c r="B4" s="20"/>
      <c r="C4" s="20"/>
      <c r="D4" s="20"/>
      <c r="E4" s="20"/>
      <c r="F4" s="20"/>
      <c r="G4" s="20"/>
    </row>
    <row r="5" customFormat="false" ht="15" hidden="false" customHeight="false" outlineLevel="0" collapsed="false">
      <c r="A5" s="21" t="s">
        <v>319</v>
      </c>
      <c r="B5" s="21" t="s">
        <v>320</v>
      </c>
      <c r="C5" s="21" t="s">
        <v>321</v>
      </c>
      <c r="D5" s="21" t="s">
        <v>322</v>
      </c>
    </row>
    <row r="6" customFormat="false" ht="15" hidden="false" customHeight="false" outlineLevel="0" collapsed="false">
      <c r="A6" s="76" t="n">
        <v>1</v>
      </c>
      <c r="B6" s="74" t="s">
        <v>323</v>
      </c>
      <c r="C6" s="74" t="s">
        <v>324</v>
      </c>
      <c r="D6" s="41" t="s">
        <v>323</v>
      </c>
    </row>
    <row r="7" customFormat="false" ht="15" hidden="false" customHeight="false" outlineLevel="0" collapsed="false">
      <c r="A7" s="76" t="n">
        <v>2</v>
      </c>
      <c r="B7" s="74" t="s">
        <v>325</v>
      </c>
      <c r="C7" s="74" t="s">
        <v>326</v>
      </c>
      <c r="D7" s="41" t="s">
        <v>323</v>
      </c>
    </row>
    <row r="8" customFormat="false" ht="15" hidden="false" customHeight="false" outlineLevel="0" collapsed="false">
      <c r="A8" s="76" t="n">
        <v>3</v>
      </c>
      <c r="B8" s="74" t="s">
        <v>327</v>
      </c>
      <c r="C8" s="74" t="s">
        <v>328</v>
      </c>
      <c r="D8" s="41" t="s">
        <v>323</v>
      </c>
    </row>
    <row r="9" customFormat="false" ht="15" hidden="false" customHeight="false" outlineLevel="0" collapsed="false">
      <c r="A9" s="76" t="n">
        <v>4</v>
      </c>
      <c r="B9" s="74" t="s">
        <v>329</v>
      </c>
      <c r="C9" s="74" t="s">
        <v>330</v>
      </c>
      <c r="D9" s="41" t="s">
        <v>323</v>
      </c>
    </row>
    <row r="10" customFormat="false" ht="15" hidden="false" customHeight="false" outlineLevel="0" collapsed="false">
      <c r="A10" s="76" t="n">
        <v>5</v>
      </c>
      <c r="B10" s="74" t="s">
        <v>331</v>
      </c>
      <c r="C10" s="74" t="s">
        <v>332</v>
      </c>
      <c r="D10" s="41" t="s">
        <v>323</v>
      </c>
    </row>
    <row r="12" customFormat="false" ht="15" hidden="false" customHeight="true" outlineLevel="0" collapsed="false">
      <c r="A12" s="82" t="s">
        <v>333</v>
      </c>
      <c r="B12" s="82"/>
      <c r="C12" s="82"/>
      <c r="D12" s="82"/>
      <c r="E12" s="82"/>
      <c r="F12" s="82"/>
      <c r="G12" s="82"/>
    </row>
    <row r="14" customFormat="false" ht="19.5" hidden="false" customHeight="true" outlineLevel="0" collapsed="false">
      <c r="A14" s="20" t="s">
        <v>334</v>
      </c>
      <c r="B14" s="20"/>
      <c r="C14" s="20"/>
      <c r="D14" s="20"/>
      <c r="E14" s="20"/>
      <c r="F14" s="20"/>
      <c r="G14" s="20"/>
    </row>
    <row r="15" customFormat="false" ht="18" hidden="false" customHeight="true" outlineLevel="0" collapsed="false">
      <c r="A15" s="4" t="s">
        <v>335</v>
      </c>
      <c r="B15" s="4"/>
      <c r="C15" s="4"/>
      <c r="D15" s="4"/>
      <c r="E15" s="4"/>
      <c r="F15" s="4"/>
      <c r="G15" s="4"/>
    </row>
    <row r="16" customFormat="false" ht="18" hidden="false" customHeight="true" outlineLevel="0" collapsed="false">
      <c r="A16" s="4"/>
      <c r="B16" s="4"/>
      <c r="C16" s="4"/>
      <c r="D16" s="4"/>
      <c r="E16" s="4"/>
      <c r="F16" s="4"/>
      <c r="G16" s="4"/>
    </row>
    <row r="17" customFormat="false" ht="18" hidden="false" customHeight="true" outlineLevel="0" collapsed="false">
      <c r="A17" s="4"/>
      <c r="B17" s="4"/>
      <c r="C17" s="4"/>
      <c r="D17" s="4"/>
      <c r="E17" s="4"/>
      <c r="F17" s="4"/>
      <c r="G17" s="4"/>
    </row>
    <row r="19" customFormat="false" ht="19.5" hidden="false" customHeight="true" outlineLevel="0" collapsed="false">
      <c r="A19" s="20" t="s">
        <v>336</v>
      </c>
      <c r="B19" s="20"/>
      <c r="C19" s="20"/>
      <c r="D19" s="20"/>
      <c r="E19" s="20"/>
      <c r="F19" s="20"/>
      <c r="G19" s="20"/>
    </row>
    <row r="20" customFormat="false" ht="36" hidden="false" customHeight="true" outlineLevel="0" collapsed="false">
      <c r="A20" s="28" t="s">
        <v>337</v>
      </c>
      <c r="B20" s="29" t="s">
        <v>338</v>
      </c>
      <c r="C20" s="29"/>
      <c r="D20" s="29"/>
      <c r="E20" s="29"/>
      <c r="F20" s="29"/>
      <c r="G20" s="29"/>
    </row>
    <row r="21" customFormat="false" ht="36" hidden="false" customHeight="true" outlineLevel="0" collapsed="false">
      <c r="A21" s="28" t="s">
        <v>339</v>
      </c>
      <c r="B21" s="29" t="s">
        <v>340</v>
      </c>
      <c r="C21" s="29"/>
      <c r="D21" s="29"/>
      <c r="E21" s="29"/>
      <c r="F21" s="29"/>
      <c r="G21" s="29"/>
    </row>
    <row r="22" customFormat="false" ht="36" hidden="false" customHeight="true" outlineLevel="0" collapsed="false">
      <c r="A22" s="28" t="s">
        <v>341</v>
      </c>
      <c r="B22" s="29" t="s">
        <v>342</v>
      </c>
      <c r="C22" s="29"/>
      <c r="D22" s="29"/>
      <c r="E22" s="29"/>
      <c r="F22" s="29"/>
      <c r="G22" s="29"/>
    </row>
    <row r="23" customFormat="false" ht="36" hidden="false" customHeight="true" outlineLevel="0" collapsed="false">
      <c r="A23" s="28" t="s">
        <v>343</v>
      </c>
      <c r="B23" s="29" t="s">
        <v>344</v>
      </c>
      <c r="C23" s="29"/>
      <c r="D23" s="29"/>
      <c r="E23" s="29"/>
      <c r="F23" s="29"/>
      <c r="G23" s="29"/>
    </row>
    <row r="26" customFormat="false" ht="19.5" hidden="false" customHeight="true" outlineLevel="0" collapsed="false">
      <c r="A26" s="20" t="s">
        <v>345</v>
      </c>
      <c r="B26" s="20"/>
      <c r="C26" s="20"/>
      <c r="D26" s="20"/>
      <c r="E26" s="20"/>
      <c r="F26" s="20"/>
      <c r="G26" s="20"/>
    </row>
    <row r="27" customFormat="false" ht="15.75" hidden="false" customHeight="true" outlineLevel="0" collapsed="false">
      <c r="A27" s="4" t="s">
        <v>346</v>
      </c>
      <c r="B27" s="4"/>
      <c r="C27" s="4"/>
      <c r="D27" s="4"/>
      <c r="E27" s="4"/>
      <c r="F27" s="4"/>
      <c r="G27" s="4"/>
    </row>
    <row r="28" customFormat="false" ht="15.75" hidden="false" customHeight="true" outlineLevel="0" collapsed="false">
      <c r="A28" s="4"/>
      <c r="B28" s="4"/>
      <c r="C28" s="4"/>
      <c r="D28" s="4"/>
      <c r="E28" s="4"/>
      <c r="F28" s="4"/>
      <c r="G28" s="4"/>
    </row>
    <row r="29" customFormat="false" ht="15.75" hidden="false" customHeight="true" outlineLevel="0" collapsed="false">
      <c r="A29" s="4"/>
      <c r="B29" s="4"/>
      <c r="C29" s="4"/>
      <c r="D29" s="4"/>
      <c r="E29" s="4"/>
      <c r="F29" s="4"/>
      <c r="G29" s="4"/>
    </row>
    <row r="31" customFormat="false" ht="23.85" hidden="false" customHeight="false" outlineLevel="0" collapsed="false">
      <c r="A31" s="21" t="s">
        <v>347</v>
      </c>
      <c r="B31" s="21" t="s">
        <v>348</v>
      </c>
      <c r="C31" s="21" t="s">
        <v>349</v>
      </c>
      <c r="D31" s="21" t="s">
        <v>350</v>
      </c>
    </row>
    <row r="32" customFormat="false" ht="15" hidden="false" customHeight="false" outlineLevel="0" collapsed="false">
      <c r="A32" s="83" t="s">
        <v>182</v>
      </c>
      <c r="B32" s="83" t="n">
        <v>12</v>
      </c>
      <c r="C32" s="83" t="n">
        <v>11</v>
      </c>
      <c r="D32" s="83" t="n">
        <v>11</v>
      </c>
    </row>
    <row r="33" customFormat="false" ht="15" hidden="false" customHeight="false" outlineLevel="0" collapsed="false">
      <c r="A33" s="83" t="s">
        <v>187</v>
      </c>
      <c r="B33" s="83" t="n">
        <v>8</v>
      </c>
      <c r="C33" s="83" t="n">
        <v>7</v>
      </c>
      <c r="D33" s="83" t="n">
        <v>7</v>
      </c>
    </row>
    <row r="34" customFormat="false" ht="15" hidden="false" customHeight="false" outlineLevel="0" collapsed="false">
      <c r="A34" s="83" t="s">
        <v>192</v>
      </c>
      <c r="B34" s="83" t="n">
        <v>10</v>
      </c>
      <c r="C34" s="83" t="n">
        <v>9</v>
      </c>
      <c r="D34" s="83" t="n">
        <v>9</v>
      </c>
    </row>
    <row r="35" customFormat="false" ht="15" hidden="false" customHeight="false" outlineLevel="0" collapsed="false">
      <c r="A35" s="83" t="s">
        <v>193</v>
      </c>
      <c r="B35" s="83" t="n">
        <v>14</v>
      </c>
      <c r="C35" s="83" t="n">
        <v>13</v>
      </c>
      <c r="D35" s="83" t="n">
        <v>13</v>
      </c>
    </row>
    <row r="36" customFormat="false" ht="15" hidden="false" customHeight="false" outlineLevel="0" collapsed="false">
      <c r="A36" s="83" t="s">
        <v>197</v>
      </c>
      <c r="B36" s="83" t="n">
        <v>11</v>
      </c>
      <c r="C36" s="83" t="n">
        <v>10</v>
      </c>
      <c r="D36" s="83" t="n">
        <v>10</v>
      </c>
    </row>
    <row r="37" customFormat="false" ht="15" hidden="false" customHeight="false" outlineLevel="0" collapsed="false">
      <c r="A37" s="41" t="s">
        <v>134</v>
      </c>
      <c r="B37" s="41" t="n">
        <v>55</v>
      </c>
      <c r="C37" s="41" t="n">
        <v>50</v>
      </c>
      <c r="D37" s="41" t="n">
        <v>50</v>
      </c>
    </row>
    <row r="39" customFormat="false" ht="15" hidden="false" customHeight="false" outlineLevel="0" collapsed="false">
      <c r="A39" s="84" t="s">
        <v>351</v>
      </c>
      <c r="B39" s="84"/>
      <c r="C39" s="84"/>
      <c r="D39" s="84"/>
      <c r="E39" s="84"/>
      <c r="F39" s="84"/>
      <c r="G39" s="84"/>
    </row>
    <row r="41" customFormat="false" ht="19.5" hidden="false" customHeight="true" outlineLevel="0" collapsed="false">
      <c r="A41" s="20" t="s">
        <v>352</v>
      </c>
      <c r="B41" s="20"/>
      <c r="C41" s="20"/>
      <c r="D41" s="20"/>
      <c r="E41" s="20"/>
      <c r="F41" s="20"/>
      <c r="G41" s="20"/>
    </row>
    <row r="42" customFormat="false" ht="15.75" hidden="false" customHeight="true" outlineLevel="0" collapsed="false">
      <c r="A42" s="4" t="s">
        <v>353</v>
      </c>
      <c r="B42" s="4"/>
      <c r="C42" s="4"/>
      <c r="D42" s="4"/>
      <c r="E42" s="4"/>
      <c r="F42" s="4"/>
      <c r="G42" s="4"/>
    </row>
    <row r="43" customFormat="false" ht="15.75" hidden="false" customHeight="true" outlineLevel="0" collapsed="false">
      <c r="A43" s="4"/>
      <c r="B43" s="4"/>
      <c r="C43" s="4"/>
      <c r="D43" s="4"/>
      <c r="E43" s="4"/>
      <c r="F43" s="4"/>
      <c r="G43" s="4"/>
    </row>
    <row r="45" customFormat="false" ht="15" hidden="false" customHeight="true" outlineLevel="0" collapsed="false">
      <c r="A45" s="21" t="s">
        <v>354</v>
      </c>
      <c r="B45" s="21" t="s">
        <v>355</v>
      </c>
      <c r="C45" s="21" t="s">
        <v>356</v>
      </c>
      <c r="D45" s="21" t="s">
        <v>357</v>
      </c>
      <c r="E45" s="21"/>
      <c r="F45" s="21"/>
      <c r="G45" s="21"/>
    </row>
    <row r="46" customFormat="false" ht="15" hidden="false" customHeight="true" outlineLevel="0" collapsed="false">
      <c r="A46" s="45" t="s">
        <v>358</v>
      </c>
      <c r="B46" s="83" t="n">
        <v>17</v>
      </c>
      <c r="C46" s="45" t="s">
        <v>359</v>
      </c>
      <c r="D46" s="45" t="s">
        <v>360</v>
      </c>
      <c r="E46" s="45"/>
      <c r="F46" s="45"/>
      <c r="G46" s="45"/>
    </row>
    <row r="47" customFormat="false" ht="15" hidden="false" customHeight="true" outlineLevel="0" collapsed="false">
      <c r="A47" s="44" t="s">
        <v>361</v>
      </c>
      <c r="B47" s="85" t="n">
        <v>17</v>
      </c>
      <c r="C47" s="44" t="s">
        <v>362</v>
      </c>
      <c r="D47" s="44" t="s">
        <v>360</v>
      </c>
      <c r="E47" s="44"/>
      <c r="F47" s="44"/>
      <c r="G47" s="44"/>
    </row>
    <row r="48" customFormat="false" ht="15" hidden="false" customHeight="true" outlineLevel="0" collapsed="false">
      <c r="A48" s="86" t="s">
        <v>363</v>
      </c>
      <c r="B48" s="87" t="n">
        <v>16</v>
      </c>
      <c r="C48" s="86" t="s">
        <v>364</v>
      </c>
      <c r="D48" s="86" t="s">
        <v>365</v>
      </c>
      <c r="E48" s="86"/>
      <c r="F48" s="86"/>
      <c r="G48" s="86"/>
    </row>
    <row r="49" customFormat="false" ht="15" hidden="false" customHeight="true" outlineLevel="0" collapsed="false">
      <c r="A49" s="40" t="s">
        <v>297</v>
      </c>
      <c r="B49" s="41" t="n">
        <v>50</v>
      </c>
      <c r="C49" s="40" t="s">
        <v>366</v>
      </c>
      <c r="D49" s="40" t="s">
        <v>367</v>
      </c>
      <c r="E49" s="40"/>
      <c r="F49" s="40"/>
      <c r="G49" s="40"/>
    </row>
    <row r="51" customFormat="false" ht="15" hidden="false" customHeight="true" outlineLevel="0" collapsed="false">
      <c r="A51" s="82" t="s">
        <v>368</v>
      </c>
      <c r="B51" s="82"/>
      <c r="C51" s="82"/>
      <c r="D51" s="82"/>
      <c r="E51" s="82"/>
      <c r="F51" s="82"/>
      <c r="G51" s="82"/>
    </row>
    <row r="53" customFormat="false" ht="19.5" hidden="false" customHeight="true" outlineLevel="0" collapsed="false">
      <c r="A53" s="20" t="s">
        <v>369</v>
      </c>
      <c r="B53" s="20"/>
      <c r="C53" s="20"/>
      <c r="D53" s="20"/>
      <c r="E53" s="20"/>
      <c r="F53" s="20"/>
      <c r="G53" s="20"/>
    </row>
    <row r="54" customFormat="false" ht="15.75" hidden="false" customHeight="true" outlineLevel="0" collapsed="false">
      <c r="A54" s="4" t="s">
        <v>370</v>
      </c>
      <c r="B54" s="4"/>
      <c r="C54" s="4"/>
      <c r="D54" s="4"/>
      <c r="E54" s="4"/>
      <c r="F54" s="4"/>
      <c r="G54" s="4"/>
    </row>
    <row r="55" customFormat="false" ht="15.75" hidden="false" customHeight="true" outlineLevel="0" collapsed="false">
      <c r="A55" s="4"/>
      <c r="B55" s="4"/>
      <c r="C55" s="4"/>
      <c r="D55" s="4"/>
      <c r="E55" s="4"/>
      <c r="F55" s="4"/>
      <c r="G55" s="4"/>
    </row>
    <row r="56" customFormat="false" ht="15.75" hidden="false" customHeight="true" outlineLevel="0" collapsed="false">
      <c r="A56" s="4"/>
      <c r="B56" s="4"/>
      <c r="C56" s="4"/>
      <c r="D56" s="4"/>
      <c r="E56" s="4"/>
      <c r="F56" s="4"/>
      <c r="G56" s="4"/>
    </row>
    <row r="58" customFormat="false" ht="15" hidden="false" customHeight="true" outlineLevel="0" collapsed="false">
      <c r="A58" s="21" t="s">
        <v>354</v>
      </c>
      <c r="B58" s="21" t="s">
        <v>355</v>
      </c>
      <c r="C58" s="21" t="s">
        <v>371</v>
      </c>
      <c r="D58" s="21"/>
      <c r="E58" s="21"/>
      <c r="F58" s="21"/>
      <c r="G58" s="21"/>
    </row>
    <row r="59" customFormat="false" ht="15" hidden="false" customHeight="true" outlineLevel="0" collapsed="false">
      <c r="A59" s="83" t="s">
        <v>207</v>
      </c>
      <c r="B59" s="83" t="n">
        <v>10</v>
      </c>
      <c r="C59" s="45" t="s">
        <v>372</v>
      </c>
      <c r="D59" s="45"/>
      <c r="E59" s="45"/>
      <c r="F59" s="45"/>
      <c r="G59" s="45"/>
    </row>
    <row r="60" customFormat="false" ht="15" hidden="false" customHeight="true" outlineLevel="0" collapsed="false">
      <c r="A60" s="85" t="s">
        <v>215</v>
      </c>
      <c r="B60" s="85" t="n">
        <v>10</v>
      </c>
      <c r="C60" s="44" t="s">
        <v>372</v>
      </c>
      <c r="D60" s="44"/>
      <c r="E60" s="44"/>
      <c r="F60" s="44"/>
      <c r="G60" s="44"/>
    </row>
    <row r="61" customFormat="false" ht="15" hidden="false" customHeight="true" outlineLevel="0" collapsed="false">
      <c r="A61" s="87" t="s">
        <v>225</v>
      </c>
      <c r="B61" s="87" t="n">
        <v>10</v>
      </c>
      <c r="C61" s="86" t="s">
        <v>372</v>
      </c>
      <c r="D61" s="86"/>
      <c r="E61" s="86"/>
      <c r="F61" s="86"/>
      <c r="G61" s="86"/>
    </row>
    <row r="62" customFormat="false" ht="15" hidden="false" customHeight="true" outlineLevel="0" collapsed="false">
      <c r="A62" s="88" t="s">
        <v>233</v>
      </c>
      <c r="B62" s="88" t="n">
        <v>10</v>
      </c>
      <c r="C62" s="89" t="s">
        <v>372</v>
      </c>
      <c r="D62" s="89"/>
      <c r="E62" s="89"/>
      <c r="F62" s="89"/>
      <c r="G62" s="89"/>
    </row>
    <row r="63" customFormat="false" ht="15" hidden="false" customHeight="true" outlineLevel="0" collapsed="false">
      <c r="A63" s="90" t="s">
        <v>245</v>
      </c>
      <c r="B63" s="90" t="n">
        <v>10</v>
      </c>
      <c r="C63" s="91" t="s">
        <v>372</v>
      </c>
      <c r="D63" s="91"/>
      <c r="E63" s="91"/>
      <c r="F63" s="91"/>
      <c r="G63" s="91"/>
    </row>
    <row r="64" customFormat="false" ht="15" hidden="false" customHeight="true" outlineLevel="0" collapsed="false">
      <c r="A64" s="41" t="s">
        <v>297</v>
      </c>
      <c r="B64" s="41" t="n">
        <v>50</v>
      </c>
      <c r="C64" s="40" t="s">
        <v>373</v>
      </c>
      <c r="D64" s="40"/>
      <c r="E64" s="40"/>
      <c r="F64" s="40"/>
      <c r="G64" s="40"/>
    </row>
    <row r="67" customFormat="false" ht="19.5" hidden="false" customHeight="true" outlineLevel="0" collapsed="false">
      <c r="A67" s="20" t="s">
        <v>374</v>
      </c>
      <c r="B67" s="20"/>
      <c r="C67" s="20"/>
      <c r="D67" s="20"/>
      <c r="E67" s="20"/>
      <c r="F67" s="20"/>
      <c r="G67" s="20"/>
    </row>
    <row r="68" customFormat="false" ht="30" hidden="false" customHeight="true" outlineLevel="0" collapsed="false">
      <c r="A68" s="28" t="s">
        <v>375</v>
      </c>
      <c r="B68" s="29" t="s">
        <v>376</v>
      </c>
      <c r="C68" s="29"/>
      <c r="D68" s="29"/>
      <c r="E68" s="29"/>
      <c r="F68" s="29"/>
      <c r="G68" s="29"/>
    </row>
    <row r="69" customFormat="false" ht="30" hidden="false" customHeight="true" outlineLevel="0" collapsed="false">
      <c r="A69" s="28" t="s">
        <v>377</v>
      </c>
      <c r="B69" s="29" t="s">
        <v>378</v>
      </c>
      <c r="C69" s="29"/>
      <c r="D69" s="29"/>
      <c r="E69" s="29"/>
      <c r="F69" s="29"/>
      <c r="G69" s="29"/>
    </row>
    <row r="70" customFormat="false" ht="30" hidden="false" customHeight="true" outlineLevel="0" collapsed="false">
      <c r="A70" s="28" t="s">
        <v>379</v>
      </c>
      <c r="B70" s="29" t="s">
        <v>380</v>
      </c>
      <c r="C70" s="29"/>
      <c r="D70" s="29"/>
      <c r="E70" s="29"/>
      <c r="F70" s="29"/>
      <c r="G70" s="29"/>
    </row>
    <row r="71" customFormat="false" ht="30" hidden="false" customHeight="true" outlineLevel="0" collapsed="false">
      <c r="A71" s="28" t="s">
        <v>381</v>
      </c>
      <c r="B71" s="29" t="s">
        <v>382</v>
      </c>
      <c r="C71" s="29"/>
      <c r="D71" s="29"/>
      <c r="E71" s="29"/>
      <c r="F71" s="29"/>
      <c r="G71" s="29"/>
    </row>
    <row r="72" customFormat="false" ht="30" hidden="false" customHeight="true" outlineLevel="0" collapsed="false">
      <c r="A72" s="28" t="s">
        <v>383</v>
      </c>
      <c r="B72" s="29" t="s">
        <v>384</v>
      </c>
      <c r="C72" s="29"/>
      <c r="D72" s="29"/>
      <c r="E72" s="29"/>
      <c r="F72" s="29"/>
      <c r="G72" s="29"/>
    </row>
    <row r="75" customFormat="false" ht="19.5" hidden="false" customHeight="true" outlineLevel="0" collapsed="false">
      <c r="A75" s="20" t="s">
        <v>385</v>
      </c>
      <c r="B75" s="20"/>
      <c r="C75" s="20"/>
      <c r="D75" s="20"/>
      <c r="E75" s="20"/>
      <c r="F75" s="20"/>
      <c r="G75" s="20"/>
    </row>
    <row r="76" customFormat="false" ht="15.75" hidden="false" customHeight="true" outlineLevel="0" collapsed="false">
      <c r="A76" s="4" t="s">
        <v>386</v>
      </c>
      <c r="B76" s="4"/>
      <c r="C76" s="4"/>
      <c r="D76" s="4"/>
      <c r="E76" s="4"/>
      <c r="F76" s="4"/>
      <c r="G76" s="4"/>
    </row>
    <row r="77" customFormat="false" ht="15.75" hidden="false" customHeight="true" outlineLevel="0" collapsed="false">
      <c r="A77" s="4"/>
      <c r="B77" s="4"/>
      <c r="C77" s="4"/>
      <c r="D77" s="4"/>
      <c r="E77" s="4"/>
      <c r="F77" s="4"/>
      <c r="G77" s="4"/>
    </row>
    <row r="78" customFormat="false" ht="15.75" hidden="false" customHeight="true" outlineLevel="0" collapsed="false">
      <c r="A78" s="4"/>
      <c r="B78" s="4"/>
      <c r="C78" s="4"/>
      <c r="D78" s="4"/>
      <c r="E78" s="4"/>
      <c r="F78" s="4"/>
      <c r="G78" s="4"/>
    </row>
    <row r="79" customFormat="false" ht="15.75" hidden="false" customHeight="true" outlineLevel="0" collapsed="false">
      <c r="A79" s="4"/>
      <c r="B79" s="4"/>
      <c r="C79" s="4"/>
      <c r="D79" s="4"/>
      <c r="E79" s="4"/>
      <c r="F79" s="4"/>
      <c r="G79" s="4"/>
    </row>
  </sheetData>
  <mergeCells count="39">
    <mergeCell ref="A1:G1"/>
    <mergeCell ref="A2:G2"/>
    <mergeCell ref="A4:G4"/>
    <mergeCell ref="A12:G12"/>
    <mergeCell ref="A14:G14"/>
    <mergeCell ref="A15:G17"/>
    <mergeCell ref="A19:G19"/>
    <mergeCell ref="B20:G20"/>
    <mergeCell ref="B21:G21"/>
    <mergeCell ref="B22:G22"/>
    <mergeCell ref="B23:G23"/>
    <mergeCell ref="A26:G26"/>
    <mergeCell ref="A27:G29"/>
    <mergeCell ref="A39:G39"/>
    <mergeCell ref="A41:G41"/>
    <mergeCell ref="A42:G43"/>
    <mergeCell ref="D45:G45"/>
    <mergeCell ref="D46:G46"/>
    <mergeCell ref="D47:G47"/>
    <mergeCell ref="D48:G48"/>
    <mergeCell ref="D49:G49"/>
    <mergeCell ref="A51:G51"/>
    <mergeCell ref="A53:G53"/>
    <mergeCell ref="A54:G56"/>
    <mergeCell ref="C58:G58"/>
    <mergeCell ref="C59:G59"/>
    <mergeCell ref="C60:G60"/>
    <mergeCell ref="C61:G61"/>
    <mergeCell ref="C62:G62"/>
    <mergeCell ref="C63:G63"/>
    <mergeCell ref="C64:G64"/>
    <mergeCell ref="A67:G67"/>
    <mergeCell ref="B68:G68"/>
    <mergeCell ref="B69:G69"/>
    <mergeCell ref="B70:G70"/>
    <mergeCell ref="B71:G71"/>
    <mergeCell ref="B72:G72"/>
    <mergeCell ref="A75:G75"/>
    <mergeCell ref="A76:G7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30"/>
    <col collapsed="false" customWidth="true" hidden="false" outlineLevel="0" max="6" min="3" style="1" width="12"/>
  </cols>
  <sheetData>
    <row r="1" customFormat="false" ht="24" hidden="false" customHeight="true" outlineLevel="0" collapsed="false">
      <c r="A1" s="2" t="s">
        <v>387</v>
      </c>
      <c r="B1" s="2"/>
      <c r="C1" s="2"/>
      <c r="D1" s="2"/>
      <c r="E1" s="2"/>
      <c r="F1" s="2"/>
    </row>
    <row r="2" customFormat="false" ht="15" hidden="false" customHeight="true" outlineLevel="0" collapsed="false">
      <c r="A2" s="19" t="s">
        <v>388</v>
      </c>
      <c r="B2" s="19"/>
      <c r="C2" s="19"/>
      <c r="D2" s="19"/>
      <c r="E2" s="19"/>
      <c r="F2" s="19"/>
    </row>
    <row r="4" customFormat="false" ht="19.5" hidden="false" customHeight="true" outlineLevel="0" collapsed="false">
      <c r="A4" s="20" t="s">
        <v>389</v>
      </c>
      <c r="B4" s="20"/>
      <c r="C4" s="20"/>
      <c r="D4" s="20"/>
      <c r="E4" s="20"/>
      <c r="F4" s="20"/>
    </row>
    <row r="5" customFormat="false" ht="23.25" hidden="false" customHeight="true" outlineLevel="0" collapsed="false">
      <c r="A5" s="5" t="s">
        <v>4</v>
      </c>
      <c r="B5" s="6" t="s">
        <v>390</v>
      </c>
      <c r="C5" s="6"/>
      <c r="D5" s="6"/>
      <c r="E5" s="6"/>
      <c r="F5" s="6"/>
    </row>
    <row r="6" customFormat="false" ht="23.25" hidden="false" customHeight="true" outlineLevel="0" collapsed="false">
      <c r="A6" s="5" t="s">
        <v>4</v>
      </c>
      <c r="B6" s="6" t="s">
        <v>391</v>
      </c>
      <c r="C6" s="6"/>
      <c r="D6" s="6"/>
      <c r="E6" s="6"/>
      <c r="F6" s="6"/>
    </row>
    <row r="7" customFormat="false" ht="15" hidden="false" customHeight="true" outlineLevel="0" collapsed="false">
      <c r="A7" s="5" t="s">
        <v>4</v>
      </c>
      <c r="B7" s="6" t="s">
        <v>392</v>
      </c>
      <c r="C7" s="6"/>
      <c r="D7" s="6"/>
      <c r="E7" s="6"/>
      <c r="F7" s="6"/>
    </row>
    <row r="8" customFormat="false" ht="23.25" hidden="false" customHeight="true" outlineLevel="0" collapsed="false">
      <c r="A8" s="5" t="s">
        <v>4</v>
      </c>
      <c r="B8" s="6" t="s">
        <v>393</v>
      </c>
      <c r="C8" s="6"/>
      <c r="D8" s="6"/>
      <c r="E8" s="6"/>
      <c r="F8" s="6"/>
    </row>
    <row r="11" customFormat="false" ht="19.5" hidden="false" customHeight="true" outlineLevel="0" collapsed="false">
      <c r="A11" s="20" t="s">
        <v>394</v>
      </c>
      <c r="B11" s="20"/>
      <c r="C11" s="20"/>
      <c r="D11" s="20"/>
      <c r="E11" s="20"/>
      <c r="F11" s="20"/>
    </row>
    <row r="12" customFormat="false" ht="15" hidden="false" customHeight="true" outlineLevel="0" collapsed="false">
      <c r="A12" s="92" t="s">
        <v>395</v>
      </c>
      <c r="B12" s="92"/>
      <c r="C12" s="92"/>
      <c r="D12" s="92"/>
      <c r="E12" s="92"/>
      <c r="F12" s="92"/>
    </row>
    <row r="13" customFormat="false" ht="15" hidden="false" customHeight="true" outlineLevel="0" collapsed="false">
      <c r="A13" s="5" t="s">
        <v>396</v>
      </c>
      <c r="B13" s="11" t="s">
        <v>397</v>
      </c>
      <c r="C13" s="11"/>
      <c r="D13" s="11"/>
      <c r="E13" s="11"/>
      <c r="F13" s="11"/>
    </row>
    <row r="15" customFormat="false" ht="19.5" hidden="false" customHeight="true" outlineLevel="0" collapsed="false">
      <c r="A15" s="20" t="s">
        <v>398</v>
      </c>
      <c r="B15" s="20"/>
      <c r="C15" s="20"/>
      <c r="D15" s="20"/>
      <c r="E15" s="20"/>
      <c r="F15" s="20"/>
    </row>
    <row r="16" customFormat="false" ht="15" hidden="false" customHeight="true" outlineLevel="0" collapsed="false">
      <c r="A16" s="93" t="s">
        <v>399</v>
      </c>
      <c r="B16" s="94" t="s">
        <v>400</v>
      </c>
      <c r="C16" s="94"/>
      <c r="D16" s="94"/>
      <c r="E16" s="94"/>
      <c r="F16" s="94"/>
    </row>
    <row r="17" customFormat="false" ht="15" hidden="false" customHeight="true" outlineLevel="0" collapsed="false">
      <c r="A17" s="93" t="s">
        <v>401</v>
      </c>
      <c r="B17" s="94" t="s">
        <v>402</v>
      </c>
      <c r="C17" s="94"/>
      <c r="D17" s="94"/>
      <c r="E17" s="94"/>
      <c r="F17" s="94"/>
    </row>
    <row r="18" customFormat="false" ht="15" hidden="false" customHeight="true" outlineLevel="0" collapsed="false">
      <c r="A18" s="95" t="s">
        <v>403</v>
      </c>
      <c r="B18" s="96" t="s">
        <v>404</v>
      </c>
      <c r="C18" s="96"/>
      <c r="D18" s="96"/>
      <c r="E18" s="96"/>
      <c r="F18" s="96"/>
    </row>
    <row r="20" customFormat="false" ht="19.5" hidden="false" customHeight="true" outlineLevel="0" collapsed="false">
      <c r="A20" s="20" t="s">
        <v>405</v>
      </c>
      <c r="B20" s="20"/>
      <c r="C20" s="20"/>
      <c r="D20" s="20"/>
      <c r="E20" s="20"/>
      <c r="F20" s="20"/>
    </row>
    <row r="21" customFormat="false" ht="15" hidden="false" customHeight="true" outlineLevel="0" collapsed="false">
      <c r="A21" s="97" t="s">
        <v>406</v>
      </c>
      <c r="B21" s="98" t="s">
        <v>407</v>
      </c>
      <c r="C21" s="98"/>
      <c r="D21" s="98"/>
      <c r="E21" s="98"/>
      <c r="F21" s="98"/>
    </row>
    <row r="22" customFormat="false" ht="15" hidden="false" customHeight="true" outlineLevel="0" collapsed="false">
      <c r="A22" s="97" t="s">
        <v>408</v>
      </c>
      <c r="B22" s="98" t="s">
        <v>409</v>
      </c>
      <c r="C22" s="98"/>
      <c r="D22" s="98"/>
      <c r="E22" s="98"/>
      <c r="F22" s="98"/>
    </row>
    <row r="23" customFormat="false" ht="15" hidden="false" customHeight="true" outlineLevel="0" collapsed="false">
      <c r="A23" s="95" t="s">
        <v>410</v>
      </c>
      <c r="B23" s="96" t="s">
        <v>411</v>
      </c>
      <c r="C23" s="96"/>
      <c r="D23" s="96"/>
      <c r="E23" s="96"/>
      <c r="F23" s="96"/>
    </row>
    <row r="25" customFormat="false" ht="19.5" hidden="false" customHeight="true" outlineLevel="0" collapsed="false">
      <c r="A25" s="20" t="s">
        <v>412</v>
      </c>
      <c r="B25" s="20"/>
      <c r="C25" s="20"/>
      <c r="D25" s="20"/>
      <c r="E25" s="20"/>
      <c r="F25" s="20"/>
    </row>
    <row r="26" customFormat="false" ht="15" hidden="false" customHeight="true" outlineLevel="0" collapsed="false">
      <c r="A26" s="4" t="s">
        <v>413</v>
      </c>
      <c r="B26" s="4"/>
      <c r="C26" s="4"/>
      <c r="D26" s="4"/>
      <c r="E26" s="4"/>
      <c r="F26" s="4"/>
    </row>
    <row r="27" customFormat="false" ht="15" hidden="false" customHeight="true" outlineLevel="0" collapsed="false">
      <c r="A27" s="4"/>
      <c r="B27" s="4"/>
      <c r="C27" s="4"/>
      <c r="D27" s="4"/>
      <c r="E27" s="4"/>
      <c r="F27" s="4"/>
    </row>
    <row r="28" customFormat="false" ht="15" hidden="false" customHeight="true" outlineLevel="0" collapsed="false">
      <c r="A28" s="4"/>
      <c r="B28" s="4"/>
      <c r="C28" s="4"/>
      <c r="D28" s="4"/>
      <c r="E28" s="4"/>
      <c r="F28" s="4"/>
    </row>
    <row r="30" customFormat="false" ht="19.5" hidden="false" customHeight="true" outlineLevel="0" collapsed="false">
      <c r="A30" s="20" t="s">
        <v>414</v>
      </c>
      <c r="B30" s="20"/>
      <c r="C30" s="20"/>
      <c r="D30" s="20"/>
      <c r="E30" s="20"/>
      <c r="F30" s="20"/>
    </row>
    <row r="31" customFormat="false" ht="31.5" hidden="false" customHeight="true" outlineLevel="0" collapsed="false">
      <c r="A31" s="28" t="s">
        <v>415</v>
      </c>
      <c r="B31" s="29" t="s">
        <v>416</v>
      </c>
      <c r="C31" s="29"/>
      <c r="D31" s="29"/>
      <c r="E31" s="29"/>
      <c r="F31" s="29"/>
    </row>
    <row r="32" customFormat="false" ht="31.5" hidden="false" customHeight="true" outlineLevel="0" collapsed="false">
      <c r="A32" s="28" t="s">
        <v>417</v>
      </c>
      <c r="B32" s="29" t="s">
        <v>418</v>
      </c>
      <c r="C32" s="29"/>
      <c r="D32" s="29"/>
      <c r="E32" s="29"/>
      <c r="F32" s="29"/>
    </row>
    <row r="33" customFormat="false" ht="31.5" hidden="false" customHeight="true" outlineLevel="0" collapsed="false">
      <c r="A33" s="28" t="s">
        <v>419</v>
      </c>
      <c r="B33" s="29" t="s">
        <v>420</v>
      </c>
      <c r="C33" s="29"/>
      <c r="D33" s="29"/>
      <c r="E33" s="29"/>
      <c r="F33" s="29"/>
    </row>
    <row r="34" customFormat="false" ht="31.5" hidden="false" customHeight="true" outlineLevel="0" collapsed="false">
      <c r="A34" s="28" t="s">
        <v>421</v>
      </c>
      <c r="B34" s="29" t="s">
        <v>422</v>
      </c>
      <c r="C34" s="29"/>
      <c r="D34" s="29"/>
      <c r="E34" s="29"/>
      <c r="F34" s="29"/>
    </row>
  </sheetData>
  <mergeCells count="25">
    <mergeCell ref="A1:F1"/>
    <mergeCell ref="A2:F2"/>
    <mergeCell ref="A4:F4"/>
    <mergeCell ref="B5:F5"/>
    <mergeCell ref="B6:F6"/>
    <mergeCell ref="B7:F7"/>
    <mergeCell ref="B8:F8"/>
    <mergeCell ref="A11:F11"/>
    <mergeCell ref="A12:F12"/>
    <mergeCell ref="B13:F13"/>
    <mergeCell ref="A15:F15"/>
    <mergeCell ref="B16:F16"/>
    <mergeCell ref="B17:F17"/>
    <mergeCell ref="B18:F18"/>
    <mergeCell ref="A20:F20"/>
    <mergeCell ref="B21:F21"/>
    <mergeCell ref="B22:F22"/>
    <mergeCell ref="B23:F23"/>
    <mergeCell ref="A25:F25"/>
    <mergeCell ref="A26:F28"/>
    <mergeCell ref="A30:F30"/>
    <mergeCell ref="B31:F31"/>
    <mergeCell ref="B32:F32"/>
    <mergeCell ref="B33:F33"/>
    <mergeCell ref="B34:F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18"/>
  </cols>
  <sheetData>
    <row r="1" customFormat="false" ht="24" hidden="false" customHeight="true" outlineLevel="0" collapsed="false">
      <c r="A1" s="2" t="s">
        <v>423</v>
      </c>
      <c r="B1" s="2"/>
      <c r="C1" s="2"/>
      <c r="D1" s="2"/>
    </row>
    <row r="2" customFormat="false" ht="15" hidden="false" customHeight="true" outlineLevel="0" collapsed="false">
      <c r="A2" s="19" t="s">
        <v>424</v>
      </c>
      <c r="B2" s="19"/>
      <c r="C2" s="19"/>
      <c r="D2" s="19"/>
    </row>
    <row r="4" customFormat="false" ht="19.5" hidden="false" customHeight="true" outlineLevel="0" collapsed="false">
      <c r="A4" s="20" t="s">
        <v>425</v>
      </c>
      <c r="B4" s="20"/>
      <c r="C4" s="20"/>
      <c r="D4" s="20"/>
    </row>
    <row r="5" customFormat="false" ht="15" hidden="false" customHeight="true" outlineLevel="0" collapsed="false">
      <c r="A5" s="21" t="s">
        <v>426</v>
      </c>
      <c r="B5" s="21" t="s">
        <v>427</v>
      </c>
    </row>
    <row r="6" customFormat="false" ht="15" hidden="false" customHeight="true" outlineLevel="0" collapsed="false">
      <c r="A6" s="73" t="s">
        <v>428</v>
      </c>
      <c r="B6" s="50" t="n">
        <v>5</v>
      </c>
    </row>
    <row r="7" customFormat="false" ht="15" hidden="false" customHeight="true" outlineLevel="0" collapsed="false">
      <c r="A7" s="73" t="s">
        <v>429</v>
      </c>
      <c r="B7" s="50" t="n">
        <v>5</v>
      </c>
    </row>
    <row r="8" customFormat="false" ht="15" hidden="false" customHeight="true" outlineLevel="0" collapsed="false">
      <c r="A8" s="73" t="s">
        <v>430</v>
      </c>
      <c r="B8" s="50" t="n">
        <v>5</v>
      </c>
    </row>
    <row r="9" customFormat="false" ht="15" hidden="false" customHeight="true" outlineLevel="0" collapsed="false">
      <c r="A9" s="73" t="s">
        <v>431</v>
      </c>
      <c r="B9" s="50" t="n">
        <v>5</v>
      </c>
    </row>
    <row r="10" customFormat="false" ht="15" hidden="false" customHeight="true" outlineLevel="0" collapsed="false">
      <c r="A10" s="73" t="s">
        <v>432</v>
      </c>
      <c r="B10" s="50" t="n">
        <v>5</v>
      </c>
    </row>
    <row r="11" customFormat="false" ht="15" hidden="false" customHeight="true" outlineLevel="0" collapsed="false">
      <c r="A11" s="73" t="s">
        <v>433</v>
      </c>
      <c r="B11" s="50" t="n">
        <v>5</v>
      </c>
    </row>
    <row r="12" customFormat="false" ht="15" hidden="false" customHeight="true" outlineLevel="0" collapsed="false">
      <c r="A12" s="73" t="s">
        <v>434</v>
      </c>
      <c r="B12" s="50" t="n">
        <v>5</v>
      </c>
    </row>
    <row r="13" customFormat="false" ht="15" hidden="false" customHeight="true" outlineLevel="0" collapsed="false">
      <c r="A13" s="73" t="s">
        <v>435</v>
      </c>
      <c r="B13" s="50" t="n">
        <v>5</v>
      </c>
    </row>
    <row r="14" customFormat="false" ht="15" hidden="false" customHeight="true" outlineLevel="0" collapsed="false">
      <c r="A14" s="73" t="s">
        <v>436</v>
      </c>
      <c r="B14" s="50" t="n">
        <v>5</v>
      </c>
    </row>
    <row r="15" customFormat="false" ht="15" hidden="false" customHeight="true" outlineLevel="0" collapsed="false">
      <c r="A15" s="73" t="s">
        <v>437</v>
      </c>
      <c r="B15" s="50" t="n">
        <v>10</v>
      </c>
    </row>
    <row r="16" customFormat="false" ht="15" hidden="false" customHeight="true" outlineLevel="0" collapsed="false">
      <c r="A16" s="73" t="s">
        <v>438</v>
      </c>
      <c r="B16" s="99" t="n">
        <v>0</v>
      </c>
    </row>
    <row r="19" customFormat="false" ht="19.5" hidden="false" customHeight="true" outlineLevel="0" collapsed="false">
      <c r="A19" s="20" t="s">
        <v>439</v>
      </c>
      <c r="B19" s="20"/>
      <c r="C19" s="20"/>
      <c r="D19" s="20"/>
    </row>
    <row r="20" customFormat="false" ht="15" hidden="false" customHeight="true" outlineLevel="0" collapsed="false">
      <c r="A20" s="21" t="s">
        <v>426</v>
      </c>
      <c r="B20" s="21" t="s">
        <v>427</v>
      </c>
    </row>
    <row r="21" customFormat="false" ht="15" hidden="false" customHeight="true" outlineLevel="0" collapsed="false">
      <c r="A21" s="73" t="s">
        <v>440</v>
      </c>
      <c r="B21" s="50" t="n">
        <v>10</v>
      </c>
    </row>
    <row r="22" customFormat="false" ht="15" hidden="false" customHeight="true" outlineLevel="0" collapsed="false">
      <c r="A22" s="73" t="s">
        <v>441</v>
      </c>
      <c r="B22" s="50" t="n">
        <v>10</v>
      </c>
    </row>
    <row r="23" customFormat="false" ht="15" hidden="false" customHeight="true" outlineLevel="0" collapsed="false">
      <c r="A23" s="73" t="s">
        <v>442</v>
      </c>
      <c r="B23" s="50" t="n">
        <v>10</v>
      </c>
    </row>
    <row r="24" customFormat="false" ht="15" hidden="false" customHeight="true" outlineLevel="0" collapsed="false">
      <c r="A24" s="73" t="s">
        <v>443</v>
      </c>
      <c r="B24" s="50" t="n">
        <v>10</v>
      </c>
    </row>
    <row r="25" customFormat="false" ht="15" hidden="false" customHeight="true" outlineLevel="0" collapsed="false">
      <c r="A25" s="73" t="s">
        <v>444</v>
      </c>
      <c r="B25" s="50" t="n">
        <v>10</v>
      </c>
    </row>
    <row r="26" customFormat="false" ht="15" hidden="false" customHeight="true" outlineLevel="0" collapsed="false">
      <c r="A26" s="73" t="s">
        <v>445</v>
      </c>
      <c r="B26" s="50" t="n">
        <v>10</v>
      </c>
    </row>
    <row r="27" customFormat="false" ht="15" hidden="false" customHeight="true" outlineLevel="0" collapsed="false">
      <c r="A27" s="73" t="s">
        <v>446</v>
      </c>
      <c r="B27" s="50" t="n">
        <v>10</v>
      </c>
    </row>
    <row r="28" customFormat="false" ht="15" hidden="false" customHeight="true" outlineLevel="0" collapsed="false">
      <c r="A28" s="73" t="s">
        <v>447</v>
      </c>
      <c r="B28" s="50" t="n">
        <v>10</v>
      </c>
    </row>
    <row r="29" customFormat="false" ht="15" hidden="false" customHeight="true" outlineLevel="0" collapsed="false">
      <c r="A29" s="73" t="s">
        <v>448</v>
      </c>
      <c r="B29" s="50" t="n">
        <v>10</v>
      </c>
    </row>
    <row r="30" customFormat="false" ht="15" hidden="false" customHeight="true" outlineLevel="0" collapsed="false">
      <c r="A30" s="73" t="s">
        <v>449</v>
      </c>
      <c r="B30" s="99" t="n">
        <v>0</v>
      </c>
    </row>
    <row r="33" customFormat="false" ht="19.5" hidden="false" customHeight="true" outlineLevel="0" collapsed="false">
      <c r="A33" s="20" t="s">
        <v>450</v>
      </c>
      <c r="B33" s="20"/>
      <c r="C33" s="20"/>
      <c r="D33" s="20"/>
    </row>
    <row r="34" customFormat="false" ht="15" hidden="false" customHeight="true" outlineLevel="0" collapsed="false">
      <c r="A34" s="21" t="s">
        <v>426</v>
      </c>
      <c r="B34" s="21" t="s">
        <v>427</v>
      </c>
    </row>
    <row r="35" customFormat="false" ht="15" hidden="false" customHeight="true" outlineLevel="0" collapsed="false">
      <c r="A35" s="73" t="s">
        <v>451</v>
      </c>
      <c r="B35" s="50" t="n">
        <v>10</v>
      </c>
    </row>
    <row r="36" customFormat="false" ht="15" hidden="false" customHeight="true" outlineLevel="0" collapsed="false">
      <c r="A36" s="73" t="s">
        <v>452</v>
      </c>
      <c r="B36" s="99" t="n">
        <v>0</v>
      </c>
    </row>
  </sheetData>
  <mergeCells count="5">
    <mergeCell ref="A1:D1"/>
    <mergeCell ref="A2:D2"/>
    <mergeCell ref="A4:D4"/>
    <mergeCell ref="A19:D19"/>
    <mergeCell ref="A33:D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35"/>
    <col collapsed="false" customWidth="true" hidden="false" outlineLevel="0" max="3" min="3" style="1" width="45"/>
  </cols>
  <sheetData>
    <row r="1" customFormat="false" ht="24" hidden="false" customHeight="true" outlineLevel="0" collapsed="false">
      <c r="A1" s="2" t="s">
        <v>453</v>
      </c>
      <c r="B1" s="2"/>
      <c r="C1" s="2"/>
    </row>
    <row r="2" customFormat="false" ht="15" hidden="false" customHeight="true" outlineLevel="0" collapsed="false">
      <c r="A2" s="19" t="s">
        <v>454</v>
      </c>
      <c r="B2" s="19"/>
      <c r="C2" s="19"/>
    </row>
    <row r="4" customFormat="false" ht="15" hidden="false" customHeight="true" outlineLevel="0" collapsed="false">
      <c r="A4" s="21" t="s">
        <v>455</v>
      </c>
      <c r="B4" s="21" t="s">
        <v>456</v>
      </c>
      <c r="C4" s="21" t="s">
        <v>457</v>
      </c>
    </row>
    <row r="5" customFormat="false" ht="15" hidden="false" customHeight="true" outlineLevel="0" collapsed="false">
      <c r="A5" s="76" t="s">
        <v>200</v>
      </c>
      <c r="B5" s="73" t="s">
        <v>201</v>
      </c>
      <c r="C5" s="73" t="s">
        <v>458</v>
      </c>
    </row>
    <row r="6" customFormat="false" ht="15" hidden="false" customHeight="true" outlineLevel="0" collapsed="false">
      <c r="A6" s="76" t="s">
        <v>205</v>
      </c>
      <c r="B6" s="73" t="s">
        <v>206</v>
      </c>
      <c r="C6" s="73" t="s">
        <v>458</v>
      </c>
    </row>
    <row r="7" customFormat="false" ht="15" hidden="false" customHeight="true" outlineLevel="0" collapsed="false">
      <c r="A7" s="76" t="s">
        <v>207</v>
      </c>
      <c r="B7" s="73" t="s">
        <v>208</v>
      </c>
      <c r="C7" s="73" t="s">
        <v>458</v>
      </c>
    </row>
    <row r="8" customFormat="false" ht="15" hidden="false" customHeight="true" outlineLevel="0" collapsed="false">
      <c r="A8" s="76" t="s">
        <v>209</v>
      </c>
      <c r="B8" s="73" t="s">
        <v>210</v>
      </c>
      <c r="C8" s="73" t="s">
        <v>458</v>
      </c>
    </row>
    <row r="9" customFormat="false" ht="15" hidden="false" customHeight="true" outlineLevel="0" collapsed="false">
      <c r="A9" s="76" t="s">
        <v>211</v>
      </c>
      <c r="B9" s="73" t="s">
        <v>212</v>
      </c>
      <c r="C9" s="73" t="s">
        <v>458</v>
      </c>
    </row>
    <row r="10" customFormat="false" ht="15" hidden="false" customHeight="true" outlineLevel="0" collapsed="false">
      <c r="A10" s="76" t="s">
        <v>213</v>
      </c>
      <c r="B10" s="73" t="s">
        <v>214</v>
      </c>
      <c r="C10" s="73" t="s">
        <v>458</v>
      </c>
    </row>
    <row r="11" customFormat="false" ht="15" hidden="false" customHeight="true" outlineLevel="0" collapsed="false">
      <c r="A11" s="76" t="s">
        <v>215</v>
      </c>
      <c r="B11" s="73" t="s">
        <v>216</v>
      </c>
      <c r="C11" s="73" t="s">
        <v>458</v>
      </c>
    </row>
    <row r="12" customFormat="false" ht="15" hidden="false" customHeight="true" outlineLevel="0" collapsed="false">
      <c r="A12" s="76" t="s">
        <v>217</v>
      </c>
      <c r="B12" s="73" t="s">
        <v>218</v>
      </c>
      <c r="C12" s="73" t="s">
        <v>458</v>
      </c>
    </row>
    <row r="13" customFormat="false" ht="15" hidden="false" customHeight="true" outlineLevel="0" collapsed="false">
      <c r="A13" s="76" t="s">
        <v>219</v>
      </c>
      <c r="B13" s="73" t="s">
        <v>220</v>
      </c>
      <c r="C13" s="73" t="s">
        <v>458</v>
      </c>
    </row>
    <row r="14" customFormat="false" ht="15" hidden="false" customHeight="true" outlineLevel="0" collapsed="false">
      <c r="A14" s="76" t="s">
        <v>221</v>
      </c>
      <c r="B14" s="73" t="s">
        <v>222</v>
      </c>
      <c r="C14" s="73" t="s">
        <v>458</v>
      </c>
    </row>
    <row r="15" customFormat="false" ht="15" hidden="false" customHeight="true" outlineLevel="0" collapsed="false">
      <c r="A15" s="76" t="s">
        <v>223</v>
      </c>
      <c r="B15" s="73" t="s">
        <v>224</v>
      </c>
      <c r="C15" s="73" t="s">
        <v>458</v>
      </c>
    </row>
    <row r="16" customFormat="false" ht="15" hidden="false" customHeight="true" outlineLevel="0" collapsed="false">
      <c r="A16" s="76" t="s">
        <v>225</v>
      </c>
      <c r="B16" s="73" t="s">
        <v>226</v>
      </c>
      <c r="C16" s="73" t="s">
        <v>458</v>
      </c>
    </row>
    <row r="17" customFormat="false" ht="15" hidden="false" customHeight="true" outlineLevel="0" collapsed="false">
      <c r="A17" s="76" t="s">
        <v>227</v>
      </c>
      <c r="B17" s="73" t="s">
        <v>228</v>
      </c>
      <c r="C17" s="73" t="s">
        <v>458</v>
      </c>
    </row>
    <row r="18" customFormat="false" ht="15" hidden="false" customHeight="true" outlineLevel="0" collapsed="false">
      <c r="A18" s="76" t="s">
        <v>229</v>
      </c>
      <c r="B18" s="73" t="s">
        <v>230</v>
      </c>
      <c r="C18" s="73" t="s">
        <v>458</v>
      </c>
    </row>
    <row r="19" customFormat="false" ht="15" hidden="false" customHeight="true" outlineLevel="0" collapsed="false">
      <c r="A19" s="76" t="s">
        <v>231</v>
      </c>
      <c r="B19" s="73" t="s">
        <v>232</v>
      </c>
      <c r="C19" s="73" t="s">
        <v>458</v>
      </c>
    </row>
    <row r="20" customFormat="false" ht="15" hidden="false" customHeight="true" outlineLevel="0" collapsed="false">
      <c r="A20" s="76" t="s">
        <v>233</v>
      </c>
      <c r="B20" s="73" t="s">
        <v>234</v>
      </c>
      <c r="C20" s="73" t="s">
        <v>458</v>
      </c>
    </row>
    <row r="21" customFormat="false" ht="15" hidden="false" customHeight="true" outlineLevel="0" collapsed="false">
      <c r="A21" s="76" t="s">
        <v>235</v>
      </c>
      <c r="B21" s="73" t="s">
        <v>236</v>
      </c>
      <c r="C21" s="73" t="s">
        <v>458</v>
      </c>
    </row>
    <row r="22" customFormat="false" ht="15" hidden="false" customHeight="true" outlineLevel="0" collapsed="false">
      <c r="A22" s="76" t="s">
        <v>237</v>
      </c>
      <c r="B22" s="73" t="s">
        <v>238</v>
      </c>
      <c r="C22" s="73" t="s">
        <v>458</v>
      </c>
    </row>
    <row r="23" customFormat="false" ht="15" hidden="false" customHeight="true" outlineLevel="0" collapsed="false">
      <c r="A23" s="76" t="s">
        <v>239</v>
      </c>
      <c r="B23" s="73" t="s">
        <v>240</v>
      </c>
      <c r="C23" s="73" t="s">
        <v>458</v>
      </c>
    </row>
    <row r="24" customFormat="false" ht="15" hidden="false" customHeight="true" outlineLevel="0" collapsed="false">
      <c r="A24" s="76" t="s">
        <v>241</v>
      </c>
      <c r="B24" s="73" t="s">
        <v>242</v>
      </c>
      <c r="C24" s="73" t="s">
        <v>458</v>
      </c>
    </row>
    <row r="25" customFormat="false" ht="15" hidden="false" customHeight="true" outlineLevel="0" collapsed="false">
      <c r="A25" s="76" t="s">
        <v>243</v>
      </c>
      <c r="B25" s="73" t="s">
        <v>244</v>
      </c>
      <c r="C25" s="73" t="s">
        <v>458</v>
      </c>
    </row>
    <row r="26" customFormat="false" ht="15" hidden="false" customHeight="true" outlineLevel="0" collapsed="false">
      <c r="A26" s="76" t="s">
        <v>245</v>
      </c>
      <c r="B26" s="73" t="s">
        <v>246</v>
      </c>
      <c r="C26" s="73" t="s">
        <v>458</v>
      </c>
    </row>
    <row r="27" customFormat="false" ht="15" hidden="false" customHeight="true" outlineLevel="0" collapsed="false">
      <c r="A27" s="76" t="s">
        <v>247</v>
      </c>
      <c r="B27" s="73" t="s">
        <v>248</v>
      </c>
      <c r="C27" s="73" t="s">
        <v>458</v>
      </c>
    </row>
    <row r="28" customFormat="false" ht="15" hidden="false" customHeight="true" outlineLevel="0" collapsed="false">
      <c r="A28" s="76" t="s">
        <v>249</v>
      </c>
      <c r="B28" s="73" t="s">
        <v>250</v>
      </c>
      <c r="C28" s="73" t="s">
        <v>458</v>
      </c>
    </row>
    <row r="29" customFormat="false" ht="15" hidden="false" customHeight="true" outlineLevel="0" collapsed="false">
      <c r="A29" s="76" t="s">
        <v>251</v>
      </c>
      <c r="B29" s="73" t="s">
        <v>252</v>
      </c>
      <c r="C29" s="73" t="s">
        <v>458</v>
      </c>
    </row>
    <row r="30" customFormat="false" ht="15" hidden="false" customHeight="true" outlineLevel="0" collapsed="false">
      <c r="A30" s="100" t="s">
        <v>253</v>
      </c>
      <c r="B30" s="101" t="s">
        <v>254</v>
      </c>
      <c r="C30" s="101" t="s">
        <v>459</v>
      </c>
    </row>
    <row r="31" customFormat="false" ht="15" hidden="false" customHeight="true" outlineLevel="0" collapsed="false">
      <c r="A31" s="100" t="s">
        <v>256</v>
      </c>
      <c r="B31" s="101" t="s">
        <v>257</v>
      </c>
      <c r="C31" s="101" t="s">
        <v>460</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2026-05-01T05:06:50Z</dcterms:created>
  <dc:creator>openpyxl</dc:creator>
  <dc:description/>
  <dc:language>en-US</dc:language>
  <cp:lastModifiedBy/>
  <dcterms:modified xsi:type="dcterms:W3CDTF">2026-05-01T12:38:53Z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